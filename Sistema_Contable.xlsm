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Contables\Sistema-Contable\"/>
    </mc:Choice>
  </mc:AlternateContent>
  <xr:revisionPtr revIDLastSave="0" documentId="13_ncr:1_{E30262CC-FD4E-4B2B-960C-E5B955BA30F0}" xr6:coauthVersionLast="47" xr6:coauthVersionMax="47" xr10:uidLastSave="{00000000-0000-0000-0000-000000000000}"/>
  <bookViews>
    <workbookView xWindow="810" yWindow="-120" windowWidth="19800" windowHeight="11760" tabRatio="766" activeTab="3" xr2:uid="{00000000-000D-0000-FFFF-FFFF00000000}"/>
  </bookViews>
  <sheets>
    <sheet name="Inicio" sheetId="1" r:id="rId1"/>
    <sheet name="Catalogo" sheetId="2" r:id="rId2"/>
    <sheet name="Libro Diario" sheetId="3" r:id="rId3"/>
    <sheet name="Libro Mayor" sheetId="4" r:id="rId4"/>
    <sheet name="Empleados" sheetId="6" r:id="rId5"/>
    <sheet name="Prestaciones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7" l="1"/>
  <c r="B5" i="7" s="1"/>
  <c r="C16" i="7"/>
  <c r="C15" i="7"/>
  <c r="C14" i="7"/>
  <c r="C11" i="7"/>
  <c r="B11" i="7"/>
  <c r="D9" i="7"/>
  <c r="B4" i="7"/>
  <c r="B3" i="7"/>
  <c r="C3" i="7" s="1"/>
  <c r="C9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<sst xmlns="http://schemas.openxmlformats.org/spreadsheetml/2006/main" count="211" uniqueCount="190">
  <si>
    <t>GRUPO</t>
  </si>
  <si>
    <t>NOMBRE DE LA CUENTA</t>
  </si>
  <si>
    <t>ACTIVO</t>
  </si>
  <si>
    <t>PASIVO</t>
  </si>
  <si>
    <t>PATRIMONIO</t>
  </si>
  <si>
    <t>CUENTA</t>
  </si>
  <si>
    <t>CLIENTES DEL EXTERIOR</t>
  </si>
  <si>
    <t>CAJA</t>
  </si>
  <si>
    <t>MOBILIARIO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</si>
  <si>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</si>
  <si>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</si>
  <si>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</si>
  <si>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</si>
  <si>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</si>
  <si>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</si>
  <si>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</si>
  <si>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</si>
  <si>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</si>
  <si>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CUENTA CORRIENTE #34567865456</t>
  </si>
  <si>
    <t>VENTAS AL CREDITO</t>
  </si>
  <si>
    <t>OTTO JAVIER GONZALEZ</t>
  </si>
  <si>
    <t>ALEJANDRO JAVIER GONZALEZ</t>
  </si>
  <si>
    <t>ANDREA CAROLINA GONZALEZ</t>
  </si>
  <si>
    <t>ARRENDAMIENTOS</t>
  </si>
  <si>
    <t>IVA DÉBITO FISCAL 13%</t>
  </si>
  <si>
    <t>IVA CREDITO FISCAL 13%</t>
  </si>
  <si>
    <t>CRÉDITO FISCAL</t>
  </si>
  <si>
    <t>VALOR PAGO 3 MESES POR ANTICIPADO</t>
  </si>
  <si>
    <t>VALOR POR APERTURA DE SOCIEDAD</t>
  </si>
  <si>
    <t>CAPITAL SOCIAL SUSCRITO EN UN 50%</t>
  </si>
  <si>
    <t>CAPITAL SOCIAL SUSCRITO EN UN 25%</t>
  </si>
  <si>
    <t>PAGO CON CHEQUE BAC #254</t>
  </si>
  <si>
    <t>VALOR POR VENTA DE PRODUCTOS AL CRÉDITO</t>
  </si>
  <si>
    <t>DÉBITO FISCAL</t>
  </si>
  <si>
    <t>INGRESO POR VENTA AL CRÉDITO A UN PLAZO DE 30 DÍAS</t>
  </si>
  <si>
    <t>NIVEL</t>
  </si>
  <si>
    <t>IVA CRÉDITO FISCAL 13%</t>
  </si>
  <si>
    <t xml:space="preserve">COMPRA DE EQUIPO </t>
  </si>
  <si>
    <t>PAGO DE COMPRA DE ADQUISICION DE VEHICULOS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</si>
  <si>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</si>
  <si>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</si>
  <si>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</si>
  <si>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</si>
  <si>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</si>
  <si>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</si>
  <si>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</si>
  <si>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</si>
  <si>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</si>
  <si>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</si>
  <si>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</si>
  <si>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</si>
  <si>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</si>
  <si>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</si>
  <si>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</si>
  <si>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</si>
  <si>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</si>
  <si>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</si>
  <si>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</si>
  <si>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</si>
  <si>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</si>
  <si>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</si>
  <si>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</si>
  <si>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</si>
  <si>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Jonathan Alexander Paredes Molina</t>
  </si>
  <si>
    <t>Desarrollador Frontend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</si>
  <si>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</si>
  <si>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</si>
  <si>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</si>
  <si>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</si>
  <si>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</si>
  <si>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</si>
  <si>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</si>
  <si>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</si>
  <si>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</si>
  <si>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</si>
  <si>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>Samael Enrique Rosales Ortiz</t>
  </si>
  <si>
    <t>Desarrollador Full- Stack</t>
  </si>
  <si>
    <t xml:space="preserve">Bienvenido </t>
  </si>
  <si>
    <t>COSTO NOMINAL</t>
  </si>
  <si>
    <t>BLAZING SOFT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</si>
  <si>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</si>
  <si>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</si>
  <si>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</si>
  <si>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</si>
  <si>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</si>
  <si>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</si>
  <si>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</si>
  <si>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</si>
  <si>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</si>
  <si>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EFCTIVO EN BANCOS</t>
  </si>
  <si>
    <t>PASIVO CORRIENTE</t>
  </si>
  <si>
    <t>INTERESES POR COBRAR</t>
  </si>
  <si>
    <t>CUENTAS POR COBRAR</t>
  </si>
  <si>
    <t>CUENTAS POR COBRAR A CLIENTES</t>
  </si>
  <si>
    <t>ACCIONISTAS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</si>
  <si>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</si>
  <si>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</si>
  <si>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</si>
  <si>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</si>
  <si>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</si>
  <si>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</si>
  <si>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</si>
  <si>
    <t>ESTIMACIÓN PARA CUENTAS INCOBRABLES</t>
  </si>
  <si>
    <t>ACTIVO NO CORRIENTE</t>
  </si>
  <si>
    <t>PROPIEDADES, PLANTA Y EQUIPO</t>
  </si>
  <si>
    <t>EDIFICIOS</t>
  </si>
  <si>
    <t>MOBILIARIO Y EQUIPO DE OFICINA</t>
  </si>
  <si>
    <t>EQUIPO DE COMPUTO</t>
  </si>
  <si>
    <t>VEHICULOS</t>
  </si>
  <si>
    <t>DEPRECIACIÓN ACUMULADA</t>
  </si>
  <si>
    <t>PROPIEDADES, PLANTA Y EQUIPO EN ARRENDAMIENTOS FINANCIEROS</t>
  </si>
  <si>
    <t>EDIFICIOS EN ARRENDAMIENTOS FINANCIEROS</t>
  </si>
  <si>
    <t>VEHICULOS EN ARRENDAMIENTOS FINANCIEROS</t>
  </si>
  <si>
    <t>MOBILIARIO Y EQUIPOS EN ARRENDAMIENTOS FINANCIERO</t>
  </si>
  <si>
    <t>CUENTAS POR COBRAR A LARGO PLAZO</t>
  </si>
  <si>
    <t>ACTIVOS INTAGIBLES</t>
  </si>
  <si>
    <t>PATENTES Y MARCAS DE FABRICA</t>
  </si>
  <si>
    <t>FRANQUICIAS</t>
  </si>
  <si>
    <t>LICENCIAS Y PROGRAMAS</t>
  </si>
  <si>
    <t>GASTOS DE LEGALIZACIÓN Y DE ORGANIZACIÓN</t>
  </si>
  <si>
    <t>AMORTIZACIÓN ACUMULADA DE ACTIVOS INTANGIBLES</t>
  </si>
  <si>
    <t>SOBREGIROS Y PRESTAMOS BANCARIOS</t>
  </si>
  <si>
    <t>ACREEDORES VARIOS</t>
  </si>
  <si>
    <t>INTERESES POR PAGAR</t>
  </si>
  <si>
    <t>ALQUILERES POR PAGAR</t>
  </si>
  <si>
    <t>ANTICIPOS DE CLIENTES</t>
  </si>
  <si>
    <t>CUENTAS POR PAGAR</t>
  </si>
  <si>
    <t>RETENCIONES</t>
  </si>
  <si>
    <t>COTIZACIONES AL SEGURO SOCIAL SALUD</t>
  </si>
  <si>
    <t>COTIZACIONES A FONDO DE PENSIONES</t>
  </si>
  <si>
    <t>ORDENES DE DESCUENTOS DE BANCOS</t>
  </si>
  <si>
    <t>OTRAS RETENCIONES</t>
  </si>
  <si>
    <t>BENEFICIOS A EMPLEADOS POR PAGAR</t>
  </si>
  <si>
    <t>SUELDOS Y SALARIOS POR PAGAR</t>
  </si>
  <si>
    <t>AGUINALDOS POR PAGAR</t>
  </si>
  <si>
    <t>VACACIONES POR PAGAR</t>
  </si>
  <si>
    <t>IVA DÉBITO FISCAL</t>
  </si>
  <si>
    <t>PASIVO NO CORRIENTE</t>
  </si>
  <si>
    <t>PRESTAMOS BANCARIOS A LARGO PLAZO</t>
  </si>
  <si>
    <t>OBLIGACIONES POR ARRENDAMIENTOS FINANCIEROS LARGO PLAZO</t>
  </si>
  <si>
    <t>BENEFICIOS POR PAGAR A EMPLEADOS LARGO PLAZO</t>
  </si>
  <si>
    <t>CAPITAL Y RESERVAS</t>
  </si>
  <si>
    <t>CAPITAL</t>
  </si>
  <si>
    <t>RESERVAS</t>
  </si>
  <si>
    <t>RESULTADOS POR APLICAR</t>
  </si>
  <si>
    <t>UTILIDADES DE EJERCICIOS ANTERIORES</t>
  </si>
  <si>
    <t>UTILIDADES DEL PRESENTE EJERCICIO</t>
  </si>
  <si>
    <t>COSTOS Y GASTOS DE OPERACIÓN</t>
  </si>
  <si>
    <t>COSTO DE SERVICIOS</t>
  </si>
  <si>
    <t>COSTO DE DESARROLLO DEL SISTEMA</t>
  </si>
  <si>
    <t>GASTOS ADMINISTRATIVOS</t>
  </si>
  <si>
    <t>GASTOS DEL PERSONAL</t>
  </si>
  <si>
    <t>GASTOS POR SERVICIOS PUBLICOS Y PRIVADOS</t>
  </si>
  <si>
    <t>SERVICIOS BASICOS</t>
  </si>
  <si>
    <t>CONSULTORIAS O ASESORIAS EXTERNAS</t>
  </si>
  <si>
    <t>SERVICIOS DE TECNICO Y PROFESIONALES</t>
  </si>
  <si>
    <t>PUBLICIDAD</t>
  </si>
  <si>
    <t>OTROS SERVICIOS</t>
  </si>
  <si>
    <t>GASTOS DE MANTENIMIENTOS</t>
  </si>
  <si>
    <t>MANTENIMIENTOS DE EDIFICIOS</t>
  </si>
  <si>
    <t>GASTOS POR SEGUROS</t>
  </si>
  <si>
    <t>MANTENIMIENTO DE HARDWARE Y SOFTWARE</t>
  </si>
  <si>
    <t>MANTENIMIENTO DEL SISTEMA</t>
  </si>
  <si>
    <t>MANTENIMIENTO DE MOBILIARIO Y EQUIPO DE OFICINA</t>
  </si>
  <si>
    <t>MANTENIMIENTO DE VEHICULOS</t>
  </si>
  <si>
    <t>OTROS GASTOS DE MANTENIMIENTO</t>
  </si>
  <si>
    <t>GASTOS POR DEPRECIACIONES Y AMORTIZACIONES</t>
  </si>
  <si>
    <t>GASTOS A CLIENTES Y EMPLEADOS</t>
  </si>
  <si>
    <t>ATENCIÓN A CLIENTES</t>
  </si>
  <si>
    <t>GASTO DE FORMACIÓN A EMPLEADOS</t>
  </si>
  <si>
    <t>GASTOS DE VIAJES, VIATICOS Y REPRESENTACIÓN</t>
  </si>
  <si>
    <t>OTROS COSTOS Y GASTOS</t>
  </si>
  <si>
    <t>GASTOS FINANCIEROS</t>
  </si>
  <si>
    <t>GASTO INTERESES SOBRE PRESTAMOS</t>
  </si>
  <si>
    <t xml:space="preserve"> PERDIDAS DE SINIESTROS</t>
  </si>
  <si>
    <t>PERDIDAS EN VENTA O RETIROS DE ACTIVOS FIJOS</t>
  </si>
  <si>
    <t>PERDIDAS DE EJERCICIOS ANTERIORES</t>
  </si>
  <si>
    <t>OTROS GASTOS</t>
  </si>
  <si>
    <t>CUENTAS DE RESULTADOS ACREEDORAS</t>
  </si>
  <si>
    <t>INGRESOS DE ACTIVIDADES ORDINARIAS</t>
  </si>
  <si>
    <t>INGRESOS POR SERVICIOS</t>
  </si>
  <si>
    <t>SOFTWARE A LA MEDIDA</t>
  </si>
  <si>
    <t xml:space="preserve">INGRESOS DE NO OPERACIÓN </t>
  </si>
  <si>
    <t>INGRESOS FINANCIEROS</t>
  </si>
  <si>
    <t>INGRESOS POR INTERESES</t>
  </si>
  <si>
    <t>CUENTA LIQUIDADORA DE RESULTADOS</t>
  </si>
  <si>
    <t>CUENTA DE CIERRE</t>
  </si>
  <si>
    <t>UTILIDADES O PERDIDAS</t>
  </si>
  <si>
    <t>IVA CRÉDITO FISCAL</t>
  </si>
  <si>
    <t>CANCELACION DE NUESTRO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</si>
</sst>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-[$$-440A]* #,##0.00_-;\-[$$-440A]* #,##0.00_-;_-[$$-440A]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5" fontId="0" fillId="0" borderId="0" xfId="1" applyNumberFormat="1" applyFon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5" fontId="0" fillId="0" borderId="3" xfId="1" applyNumberFormat="1" applyFont="1" applyBorder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0" xfId="0" applyNumberFormat="1" applyFont="1" applyFill="1" applyAlignment="1">
      <alignment horizontal="left"/>
    </xf>
    <xf numFmtId="164" fontId="0" fillId="2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2" fillId="2" borderId="0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left"/>
    </xf>
    <xf numFmtId="0" fontId="2" fillId="2" borderId="0" xfId="0" applyFont="1" applyFill="1" applyBorder="1"/>
    <xf numFmtId="165" fontId="2" fillId="2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49" fontId="0" fillId="0" borderId="0" xfId="0" applyNumberFormat="1"/>
    <xf numFmtId="164" fontId="0" fillId="0" borderId="0" xfId="1" applyFont="1"/>
    <xf numFmtId="44" fontId="0" fillId="0" borderId="0" xfId="0" applyNumberFormat="1"/>
    <xf numFmtId="44" fontId="1" fillId="0" borderId="0" xfId="0" applyNumberFormat="1" applyFont="1"/>
    <xf numFmtId="44" fontId="1" fillId="0" borderId="0" xfId="1" applyNumberFormat="1" applyFont="1"/>
    <xf numFmtId="164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44" fontId="8" fillId="0" borderId="0" xfId="0" applyNumberFormat="1" applyFont="1"/>
    <xf numFmtId="44" fontId="0" fillId="0" borderId="0" xfId="1" applyNumberFormat="1" applyFont="1"/>
    <xf numFmtId="10" fontId="0" fillId="0" borderId="0" xfId="0" applyNumberFormat="1"/>
    <xf numFmtId="0" fontId="0" fillId="6" borderId="0" xfId="0" applyFill="1"/>
    <xf numFmtId="0" fontId="0" fillId="0" borderId="0" xfId="0" applyFill="1"/>
    <xf numFmtId="0" fontId="0" fillId="5" borderId="4" xfId="0" applyFill="1" applyBorder="1"/>
    <xf numFmtId="0" fontId="0" fillId="0" borderId="4" xfId="0" applyBorder="1"/>
    <xf numFmtId="49" fontId="0" fillId="5" borderId="4" xfId="0" applyNumberFormat="1" applyFill="1" applyBorder="1"/>
    <xf numFmtId="49" fontId="0" fillId="0" borderId="4" xfId="0" applyNumberFormat="1" applyBorder="1"/>
    <xf numFmtId="44" fontId="0" fillId="5" borderId="4" xfId="1" applyNumberFormat="1" applyFont="1" applyFill="1" applyBorder="1"/>
    <xf numFmtId="44" fontId="0" fillId="0" borderId="4" xfId="1" applyNumberFormat="1" applyFont="1" applyBorder="1"/>
    <xf numFmtId="0" fontId="2" fillId="7" borderId="5" xfId="0" applyFont="1" applyFill="1" applyBorder="1"/>
    <xf numFmtId="49" fontId="0" fillId="5" borderId="6" xfId="0" applyNumberFormat="1" applyFill="1" applyBorder="1"/>
    <xf numFmtId="0" fontId="0" fillId="5" borderId="6" xfId="0" applyFill="1" applyBorder="1"/>
    <xf numFmtId="44" fontId="0" fillId="5" borderId="6" xfId="1" applyNumberFormat="1" applyFont="1" applyFill="1" applyBorder="1"/>
    <xf numFmtId="0" fontId="9" fillId="0" borderId="0" xfId="0" applyFont="1"/>
    <xf numFmtId="0" fontId="10" fillId="2" borderId="0" xfId="0" applyFont="1" applyFill="1" applyAlignment="1">
      <alignment vertical="center"/>
    </xf>
    <xf numFmtId="0" fontId="12" fillId="0" borderId="0" xfId="0" applyFont="1" applyFill="1"/>
    <xf numFmtId="0" fontId="13" fillId="2" borderId="0" xfId="0" applyFont="1" applyFill="1"/>
    <xf numFmtId="0" fontId="14" fillId="8" borderId="0" xfId="0" applyNumberFormat="1" applyFont="1" applyFill="1" applyAlignment="1">
      <alignment horizontal="left"/>
    </xf>
    <xf numFmtId="0" fontId="14" fillId="8" borderId="0" xfId="0" applyFont="1" applyFill="1"/>
    <xf numFmtId="0" fontId="14" fillId="8" borderId="0" xfId="0" applyFont="1" applyFill="1" applyAlignment="1">
      <alignment horizontal="center"/>
    </xf>
    <xf numFmtId="0" fontId="15" fillId="2" borderId="0" xfId="0" applyFont="1" applyFill="1" applyBorder="1" applyAlignment="1">
      <alignment vertical="center" wrapText="1"/>
    </xf>
    <xf numFmtId="0" fontId="3" fillId="3" borderId="0" xfId="0" applyNumberFormat="1" applyFont="1" applyFill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0" applyFont="1" applyFill="1" applyAlignment="1">
      <alignment horizontal="center"/>
    </xf>
    <xf numFmtId="0" fontId="8" fillId="3" borderId="0" xfId="0" applyNumberFormat="1" applyFont="1" applyFill="1" applyAlignment="1">
      <alignment horizontal="left"/>
    </xf>
    <xf numFmtId="0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</cellXfs>
  <cellStyles count="2">
    <cellStyle name="Moneda" xfId="1" builtinId="4"/>
    <cellStyle name="Normal" xfId="0" builtinId="0"/>
  </cellStyles>
  <dxfs count="16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080"/>
      <color rgb="FF006666"/>
      <color rgb="FF009999"/>
      <color rgb="FFFFFFFF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8</xdr:row>
      <xdr:rowOff>9524</xdr:rowOff>
    </xdr:from>
    <xdr:to>
      <xdr:col>10</xdr:col>
      <xdr:colOff>904875</xdr:colOff>
      <xdr:row>21</xdr:row>
      <xdr:rowOff>114300</xdr:rowOff>
    </xdr:to>
    <xdr:pic>
      <xdr:nvPicPr>
        <xdr:cNvPr id="3" name="Imagen 2" descr="Curso Universitario en Toma de Decisiones en Contabilidad de Gestión - TECH  Españ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533524"/>
          <a:ext cx="4610100" cy="2581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2</xdr:row>
          <xdr:rowOff>171450</xdr:rowOff>
        </xdr:from>
        <xdr:to>
          <xdr:col>11</xdr:col>
          <xdr:colOff>342900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3ED169-5E7B-4E13-9B71-08C11ABB1A74}" name="Catalogo" displayName="Catalogo" ref="A1:D108" totalsRowShown="0" dataDxfId="15">
  <autoFilter ref="A1:D108" xr:uid="{103ED169-5E7B-4E13-9B71-08C11ABB1A74}"/>
  <tableColumns count="4">
    <tableColumn id="1" xr3:uid="{563E1087-584D-46E1-A3C2-B71FB4C20AA9}" name="CODIGO" dataDxfId="14"/>
    <tableColumn id="2" xr3:uid="{66345FB0-ED8B-4067-86A6-F4464A0437A3}" name="NOMBRE DE LA CUENTA" dataDxfId="13"/>
    <tableColumn id="3" xr3:uid="{40D248F6-7D42-4F67-B6F7-BD03DB87F795}" name="GRUPO" dataDxfId="12"/>
    <tableColumn id="4" xr3:uid="{8CA7F67C-CDA5-433E-BD78-9F9557B2CB7D}" name="NIVEL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495598-6E63-4742-99F6-2BC8E025149A}" name="Empleados" displayName="Empleados" ref="A5:D10" totalsRowShown="0" headerRowDxfId="10" headerRowBorderDxfId="9" tableBorderDxfId="8" totalsRowBorderDxfId="7">
  <autoFilter ref="A5:D10" xr:uid="{87495598-6E63-4742-99F6-2BC8E025149A}"/>
  <tableColumns count="4">
    <tableColumn id="1" xr3:uid="{4DB0E4B2-5E25-4668-90C0-90B814135FE2}" name="ID" dataDxfId="6"/>
    <tableColumn id="2" xr3:uid="{63B89102-1F5E-4A78-966B-3981619F301A}" name="NOMBRE" dataDxfId="5"/>
    <tableColumn id="3" xr3:uid="{CB3834BF-B3A8-4DBA-BC3B-28BF33BC627F}" name="CARGO QUE DESEMPEÑA" dataDxfId="4"/>
    <tableColumn id="4" xr3:uid="{20487F9C-62AF-4110-B651-BEA9C79CC466}" name="COSTO REAL" dataDxfId="3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66ABE5-6BA2-4D3C-948C-99F947EDBE1A}" name="Tabla45" displayName="Tabla45" ref="A2:D11" totalsRowShown="0" headerRowDxfId="2">
  <autoFilter ref="A2:D11" xr:uid="{0C66ABE5-6BA2-4D3C-948C-99F947EDBE1A}"/>
  <tableColumns count="4">
    <tableColumn id="1" xr3:uid="{DF46481C-E0CB-4DA7-94B2-9F8FAE5F8079}" name="Prestaciones"/>
    <tableColumn id="2" xr3:uid="{41B75B11-CBC0-44B2-A291-DFA0A10F55CC}" name="Semanal " dataDxfId="1">
      <calculatedColumnFormula>H2*7</calculatedColumnFormula>
    </tableColumn>
    <tableColumn id="3" xr3:uid="{8A9CD794-543A-43E6-884D-F7AD29A8AB49}" name="Diario " dataDxfId="0" dataCellStyle="Moneda">
      <calculatedColumnFormula>Tabla45[[#This Row],[Semanal ]]/52</calculatedColumnFormula>
    </tableColumn>
    <tableColumn id="4" xr3:uid="{3E9A5898-51F9-46B7-B1FE-063B9C68B9ED}" name="Hora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DDFFE1"/>
  </sheetPr>
  <dimension ref="A1:O27"/>
  <sheetViews>
    <sheetView showGridLines="0" workbookViewId="0">
      <selection activeCell="L9" sqref="L9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17" t="s">
        <v>0</v>
      </c>
      <c r="B1" s="18" t="s">
        <v>1</v>
      </c>
      <c r="C1" s="10"/>
      <c r="D1" s="10"/>
      <c r="E1" s="10"/>
      <c r="F1" s="10"/>
      <c r="G1" s="10"/>
      <c r="H1" s="10"/>
      <c r="I1" s="10"/>
      <c r="J1" s="10"/>
      <c r="K1" s="73" t="s">
        <v>16</v>
      </c>
      <c r="L1" s="73"/>
      <c r="M1" s="10"/>
      <c r="N1" s="10"/>
      <c r="O1" s="10"/>
    </row>
    <row r="2" spans="1:15" ht="15" customHeight="1" x14ac:dyDescent="0.3">
      <c r="A2" s="19">
        <v>1</v>
      </c>
      <c r="B2" s="20" t="s">
        <v>2</v>
      </c>
      <c r="C2" s="54" t="s">
        <v>79</v>
      </c>
      <c r="D2" s="52"/>
      <c r="E2" s="52"/>
      <c r="F2" s="10"/>
      <c r="G2" s="10"/>
      <c r="H2" s="10"/>
      <c r="I2" s="10"/>
      <c r="J2" s="10"/>
      <c r="K2" s="11" t="s">
        <v>14</v>
      </c>
      <c r="L2" s="12" t="s">
        <v>17</v>
      </c>
      <c r="M2" s="10"/>
      <c r="N2" s="10"/>
      <c r="O2" s="10"/>
    </row>
    <row r="3" spans="1:15" ht="15" customHeight="1" x14ac:dyDescent="0.25">
      <c r="A3" s="19">
        <v>2</v>
      </c>
      <c r="B3" s="20" t="s">
        <v>3</v>
      </c>
      <c r="C3" s="74"/>
      <c r="D3" s="74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ht="15" customHeight="1" x14ac:dyDescent="0.25">
      <c r="A4" s="19">
        <v>3</v>
      </c>
      <c r="B4" s="20" t="s">
        <v>4</v>
      </c>
      <c r="C4" s="75" t="s">
        <v>77</v>
      </c>
      <c r="D4" s="75"/>
      <c r="E4" s="52" t="s">
        <v>84</v>
      </c>
      <c r="F4" s="10"/>
      <c r="G4" s="10"/>
      <c r="H4" s="10"/>
      <c r="I4" s="10"/>
      <c r="J4" s="10"/>
      <c r="K4" s="13" t="s">
        <v>15</v>
      </c>
      <c r="L4" s="14">
        <v>1500.99</v>
      </c>
      <c r="M4" s="10"/>
      <c r="N4" s="10"/>
      <c r="O4" s="10"/>
    </row>
    <row r="5" spans="1:15" ht="22.5" x14ac:dyDescent="0.25">
      <c r="A5" s="19">
        <v>4</v>
      </c>
      <c r="B5" s="58" t="s">
        <v>80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5">
        <v>5</v>
      </c>
      <c r="B6" s="16" t="s">
        <v>81</v>
      </c>
    </row>
    <row r="7" spans="1:15" x14ac:dyDescent="0.25">
      <c r="A7" s="15">
        <v>6</v>
      </c>
      <c r="B7" s="16" t="s">
        <v>82</v>
      </c>
    </row>
    <row r="8" spans="1:15" x14ac:dyDescent="0.25">
      <c r="A8" s="1"/>
    </row>
    <row r="9" spans="1:15" x14ac:dyDescent="0.25">
      <c r="F9" s="51"/>
    </row>
    <row r="22" spans="1:1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</sheetData>
  <sheetProtection sheet="1" formatCells="0" formatColumns="0" formatRows="0" insertColumns="0" insertRows="0" insertHyperlinks="0" deleteColumns="0" deleteRows="0" sort="0" autoFilter="0" pivotTables="0"/>
  <sortState xmlns:xlrd2="http://schemas.microsoft.com/office/spreadsheetml/2017/richdata2"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/>
  </sheetPr>
  <dimension ref="A1:D134"/>
  <sheetViews>
    <sheetView showGridLines="0" workbookViewId="0">
      <selection activeCell="D121" sqref="D121"/>
    </sheetView>
  </sheetViews>
  <sheetFormatPr baseColWidth="10" defaultRowHeight="15" x14ac:dyDescent="0.25"/>
  <cols>
    <col min="1" max="1" width="12.85546875" style="2" customWidth="1"/>
    <col min="2" max="2" width="72.7109375" customWidth="1"/>
    <col min="3" max="3" width="12.85546875" style="1" customWidth="1"/>
    <col min="4" max="4" width="12.85546875" customWidth="1"/>
    <col min="7" max="7" width="11.85546875" bestFit="1" customWidth="1"/>
  </cols>
  <sheetData>
    <row r="1" spans="1:4" ht="15.75" x14ac:dyDescent="0.25">
      <c r="A1" s="55" t="s">
        <v>83</v>
      </c>
      <c r="B1" s="56" t="s">
        <v>1</v>
      </c>
      <c r="C1" s="57" t="s">
        <v>0</v>
      </c>
      <c r="D1" s="56" t="s">
        <v>35</v>
      </c>
    </row>
    <row r="2" spans="1:4" ht="15.75" x14ac:dyDescent="0.25">
      <c r="A2" s="69">
        <v>1</v>
      </c>
      <c r="B2" s="67" t="s">
        <v>85</v>
      </c>
      <c r="C2" s="68">
        <v>1</v>
      </c>
      <c r="D2" s="67">
        <v>1</v>
      </c>
    </row>
    <row r="3" spans="1:4" ht="15.75" x14ac:dyDescent="0.25">
      <c r="A3" s="69">
        <v>11</v>
      </c>
      <c r="B3" s="67" t="s">
        <v>86</v>
      </c>
      <c r="C3" s="68">
        <v>1</v>
      </c>
      <c r="D3" s="67">
        <v>2</v>
      </c>
    </row>
    <row r="4" spans="1:4" ht="15.75" x14ac:dyDescent="0.25">
      <c r="A4" s="69">
        <v>1101</v>
      </c>
      <c r="B4" s="67" t="s">
        <v>88</v>
      </c>
      <c r="C4" s="68">
        <v>1</v>
      </c>
      <c r="D4" s="67">
        <v>3</v>
      </c>
    </row>
    <row r="5" spans="1:4" ht="15.75" x14ac:dyDescent="0.25">
      <c r="A5" s="70">
        <v>110101</v>
      </c>
      <c r="B5" s="71" t="s">
        <v>7</v>
      </c>
      <c r="C5" s="72">
        <v>1</v>
      </c>
      <c r="D5" s="71">
        <v>4</v>
      </c>
    </row>
    <row r="6" spans="1:4" ht="15.75" x14ac:dyDescent="0.25">
      <c r="A6" s="70">
        <v>110102</v>
      </c>
      <c r="B6" s="71" t="s">
        <v>89</v>
      </c>
      <c r="C6" s="72">
        <v>1</v>
      </c>
      <c r="D6" s="71">
        <v>4</v>
      </c>
    </row>
    <row r="7" spans="1:4" ht="15.75" x14ac:dyDescent="0.25">
      <c r="A7" s="69">
        <v>1102</v>
      </c>
      <c r="B7" s="67" t="s">
        <v>92</v>
      </c>
      <c r="C7" s="68">
        <v>1</v>
      </c>
      <c r="D7" s="67">
        <v>3</v>
      </c>
    </row>
    <row r="8" spans="1:4" ht="15.75" x14ac:dyDescent="0.25">
      <c r="A8" s="70">
        <v>110201</v>
      </c>
      <c r="B8" s="71" t="s">
        <v>93</v>
      </c>
      <c r="C8" s="72">
        <v>1</v>
      </c>
      <c r="D8" s="71">
        <v>4</v>
      </c>
    </row>
    <row r="9" spans="1:4" ht="15.75" x14ac:dyDescent="0.25">
      <c r="A9" s="70">
        <v>110202</v>
      </c>
      <c r="B9" s="71" t="s">
        <v>91</v>
      </c>
      <c r="C9" s="72">
        <v>1</v>
      </c>
      <c r="D9" s="71">
        <v>4</v>
      </c>
    </row>
    <row r="10" spans="1:4" ht="15.75" x14ac:dyDescent="0.25">
      <c r="A10" s="69">
        <v>1103</v>
      </c>
      <c r="B10" s="67" t="s">
        <v>94</v>
      </c>
      <c r="C10" s="68">
        <v>1</v>
      </c>
      <c r="D10" s="67">
        <v>3</v>
      </c>
    </row>
    <row r="11" spans="1:4" ht="15.75" x14ac:dyDescent="0.25">
      <c r="A11" s="69">
        <v>1104</v>
      </c>
      <c r="B11" s="67" t="s">
        <v>188</v>
      </c>
      <c r="C11" s="68">
        <v>1</v>
      </c>
      <c r="D11" s="67">
        <v>3</v>
      </c>
    </row>
    <row r="12" spans="1:4" ht="15.75" x14ac:dyDescent="0.25">
      <c r="A12" s="69">
        <v>1105</v>
      </c>
      <c r="B12" s="67" t="s">
        <v>95</v>
      </c>
      <c r="C12" s="68">
        <v>1</v>
      </c>
      <c r="D12" s="67">
        <v>3</v>
      </c>
    </row>
    <row r="13" spans="1:4" ht="15.75" x14ac:dyDescent="0.25">
      <c r="A13" s="69">
        <v>1106</v>
      </c>
      <c r="B13" s="67" t="s">
        <v>96</v>
      </c>
      <c r="C13" s="68">
        <v>1</v>
      </c>
      <c r="D13" s="67">
        <v>3</v>
      </c>
    </row>
    <row r="14" spans="1:4" ht="15.75" x14ac:dyDescent="0.25">
      <c r="A14" s="70">
        <v>110601</v>
      </c>
      <c r="B14" s="71" t="s">
        <v>97</v>
      </c>
      <c r="C14" s="72">
        <v>1</v>
      </c>
      <c r="D14" s="71">
        <v>4</v>
      </c>
    </row>
    <row r="15" spans="1:4" ht="15.75" x14ac:dyDescent="0.25">
      <c r="A15" s="70">
        <v>110602</v>
      </c>
      <c r="B15" s="71" t="s">
        <v>98</v>
      </c>
      <c r="C15" s="72">
        <v>1</v>
      </c>
      <c r="D15" s="71">
        <v>4</v>
      </c>
    </row>
    <row r="16" spans="1:4" ht="15.75" x14ac:dyDescent="0.25">
      <c r="A16" s="70">
        <v>110603</v>
      </c>
      <c r="B16" s="71" t="s">
        <v>99</v>
      </c>
      <c r="C16" s="72">
        <v>1</v>
      </c>
      <c r="D16" s="71">
        <v>4</v>
      </c>
    </row>
    <row r="17" spans="1:4" ht="15.75" x14ac:dyDescent="0.25">
      <c r="A17" s="70">
        <v>110604</v>
      </c>
      <c r="B17" s="71" t="s">
        <v>100</v>
      </c>
      <c r="C17" s="72">
        <v>1</v>
      </c>
      <c r="D17" s="71">
        <v>4</v>
      </c>
    </row>
    <row r="18" spans="1:4" ht="15.75" x14ac:dyDescent="0.25">
      <c r="A18" s="70">
        <v>110605</v>
      </c>
      <c r="B18" s="71" t="s">
        <v>101</v>
      </c>
      <c r="C18" s="72">
        <v>1</v>
      </c>
      <c r="D18" s="71">
        <v>4</v>
      </c>
    </row>
    <row r="19" spans="1:4" ht="15.75" x14ac:dyDescent="0.25">
      <c r="A19" s="69">
        <v>1107</v>
      </c>
      <c r="B19" s="67" t="s">
        <v>102</v>
      </c>
      <c r="C19" s="68">
        <v>1</v>
      </c>
      <c r="D19" s="67">
        <v>3</v>
      </c>
    </row>
    <row r="20" spans="1:4" ht="15.75" x14ac:dyDescent="0.25">
      <c r="A20" s="69">
        <v>12</v>
      </c>
      <c r="B20" s="67" t="s">
        <v>103</v>
      </c>
      <c r="C20" s="68">
        <v>1</v>
      </c>
      <c r="D20" s="67">
        <v>2</v>
      </c>
    </row>
    <row r="21" spans="1:4" ht="15.75" x14ac:dyDescent="0.25">
      <c r="A21" s="69">
        <v>1201</v>
      </c>
      <c r="B21" s="67" t="s">
        <v>104</v>
      </c>
      <c r="C21" s="68">
        <v>1</v>
      </c>
      <c r="D21" s="67">
        <v>3</v>
      </c>
    </row>
    <row r="22" spans="1:4" ht="15.75" x14ac:dyDescent="0.25">
      <c r="A22" s="70">
        <v>120101</v>
      </c>
      <c r="B22" s="71" t="s">
        <v>105</v>
      </c>
      <c r="C22" s="72">
        <v>1</v>
      </c>
      <c r="D22" s="71">
        <v>4</v>
      </c>
    </row>
    <row r="23" spans="1:4" ht="15.75" x14ac:dyDescent="0.25">
      <c r="A23" s="70">
        <v>120102</v>
      </c>
      <c r="B23" s="71" t="s">
        <v>106</v>
      </c>
      <c r="C23" s="72">
        <v>1</v>
      </c>
      <c r="D23" s="71">
        <v>4</v>
      </c>
    </row>
    <row r="24" spans="1:4" ht="15.75" x14ac:dyDescent="0.25">
      <c r="A24" s="70">
        <v>120103</v>
      </c>
      <c r="B24" s="71" t="s">
        <v>107</v>
      </c>
      <c r="C24" s="72">
        <v>1</v>
      </c>
      <c r="D24" s="71">
        <v>4</v>
      </c>
    </row>
    <row r="25" spans="1:4" ht="15.75" x14ac:dyDescent="0.25">
      <c r="A25" s="70">
        <v>120104</v>
      </c>
      <c r="B25" s="71" t="s">
        <v>108</v>
      </c>
      <c r="C25" s="72">
        <v>1</v>
      </c>
      <c r="D25" s="71">
        <v>4</v>
      </c>
    </row>
    <row r="26" spans="1:4" ht="15.75" x14ac:dyDescent="0.25">
      <c r="A26" s="70">
        <v>120105</v>
      </c>
      <c r="B26" s="71" t="s">
        <v>109</v>
      </c>
      <c r="C26" s="72">
        <v>1</v>
      </c>
      <c r="D26" s="71">
        <v>4</v>
      </c>
    </row>
    <row r="27" spans="1:4" ht="15.75" x14ac:dyDescent="0.25">
      <c r="A27" s="69">
        <v>1202</v>
      </c>
      <c r="B27" s="67" t="s">
        <v>110</v>
      </c>
      <c r="C27" s="68">
        <v>1</v>
      </c>
      <c r="D27" s="67">
        <v>3</v>
      </c>
    </row>
    <row r="28" spans="1:4" ht="15.75" x14ac:dyDescent="0.25">
      <c r="A28" s="70">
        <v>120201</v>
      </c>
      <c r="B28" s="71" t="s">
        <v>111</v>
      </c>
      <c r="C28" s="72">
        <v>1</v>
      </c>
      <c r="D28" s="71">
        <v>4</v>
      </c>
    </row>
    <row r="29" spans="1:4" ht="15.75" x14ac:dyDescent="0.25">
      <c r="A29" s="70">
        <v>120202</v>
      </c>
      <c r="B29" s="71" t="s">
        <v>113</v>
      </c>
      <c r="C29" s="72">
        <v>1</v>
      </c>
      <c r="D29" s="71">
        <v>4</v>
      </c>
    </row>
    <row r="30" spans="1:4" ht="15.75" x14ac:dyDescent="0.25">
      <c r="A30" s="70">
        <v>120203</v>
      </c>
      <c r="B30" s="71" t="s">
        <v>112</v>
      </c>
      <c r="C30" s="72">
        <v>1</v>
      </c>
      <c r="D30" s="71">
        <v>4</v>
      </c>
    </row>
    <row r="31" spans="1:4" ht="15.75" x14ac:dyDescent="0.25">
      <c r="A31" s="69">
        <v>1203</v>
      </c>
      <c r="B31" s="67" t="s">
        <v>114</v>
      </c>
      <c r="C31" s="68">
        <v>1</v>
      </c>
      <c r="D31" s="67">
        <v>3</v>
      </c>
    </row>
    <row r="32" spans="1:4" ht="15.75" x14ac:dyDescent="0.25">
      <c r="A32" s="69">
        <v>1204</v>
      </c>
      <c r="B32" s="67" t="s">
        <v>115</v>
      </c>
      <c r="C32" s="68">
        <v>1</v>
      </c>
      <c r="D32" s="67">
        <v>3</v>
      </c>
    </row>
    <row r="33" spans="1:4" ht="15.75" x14ac:dyDescent="0.25">
      <c r="A33" s="70">
        <v>120401</v>
      </c>
      <c r="B33" s="71" t="s">
        <v>116</v>
      </c>
      <c r="C33" s="72">
        <v>1</v>
      </c>
      <c r="D33" s="71">
        <v>4</v>
      </c>
    </row>
    <row r="34" spans="1:4" ht="15.75" x14ac:dyDescent="0.25">
      <c r="A34" s="70">
        <v>120402</v>
      </c>
      <c r="B34" s="71" t="s">
        <v>117</v>
      </c>
      <c r="C34" s="72">
        <v>1</v>
      </c>
      <c r="D34" s="71">
        <v>4</v>
      </c>
    </row>
    <row r="35" spans="1:4" ht="15.75" x14ac:dyDescent="0.25">
      <c r="A35" s="70">
        <v>120403</v>
      </c>
      <c r="B35" s="71" t="s">
        <v>118</v>
      </c>
      <c r="C35" s="72">
        <v>1</v>
      </c>
      <c r="D35" s="71">
        <v>4</v>
      </c>
    </row>
    <row r="36" spans="1:4" ht="15.75" x14ac:dyDescent="0.25">
      <c r="A36" s="70">
        <v>120404</v>
      </c>
      <c r="B36" s="71" t="s">
        <v>119</v>
      </c>
      <c r="C36" s="72">
        <v>1</v>
      </c>
      <c r="D36" s="71">
        <v>4</v>
      </c>
    </row>
    <row r="37" spans="1:4" ht="15.75" x14ac:dyDescent="0.25">
      <c r="A37" s="70">
        <v>120405</v>
      </c>
      <c r="B37" s="71" t="s">
        <v>120</v>
      </c>
      <c r="C37" s="72">
        <v>1</v>
      </c>
      <c r="D37" s="71">
        <v>4</v>
      </c>
    </row>
    <row r="38" spans="1:4" ht="15.75" x14ac:dyDescent="0.25">
      <c r="A38" s="69">
        <v>2</v>
      </c>
      <c r="B38" s="67" t="s">
        <v>87</v>
      </c>
      <c r="C38" s="68">
        <v>2</v>
      </c>
      <c r="D38" s="67">
        <v>1</v>
      </c>
    </row>
    <row r="39" spans="1:4" ht="15.75" x14ac:dyDescent="0.25">
      <c r="A39" s="69">
        <v>21</v>
      </c>
      <c r="B39" s="67" t="s">
        <v>90</v>
      </c>
      <c r="C39" s="68">
        <v>2</v>
      </c>
      <c r="D39" s="67">
        <v>2</v>
      </c>
    </row>
    <row r="40" spans="1:4" ht="15.75" x14ac:dyDescent="0.25">
      <c r="A40" s="69">
        <v>2101</v>
      </c>
      <c r="B40" s="67" t="s">
        <v>121</v>
      </c>
      <c r="C40" s="68">
        <v>2</v>
      </c>
      <c r="D40" s="67">
        <v>2</v>
      </c>
    </row>
    <row r="41" spans="1:4" ht="15.75" x14ac:dyDescent="0.25">
      <c r="A41" s="69">
        <v>2102</v>
      </c>
      <c r="B41" s="67" t="s">
        <v>126</v>
      </c>
      <c r="C41" s="68">
        <v>2</v>
      </c>
      <c r="D41" s="67">
        <v>3</v>
      </c>
    </row>
    <row r="42" spans="1:4" ht="15.75" x14ac:dyDescent="0.25">
      <c r="A42" s="69">
        <v>2103</v>
      </c>
      <c r="B42" s="67" t="s">
        <v>122</v>
      </c>
      <c r="C42" s="68">
        <v>2</v>
      </c>
      <c r="D42" s="67">
        <v>3</v>
      </c>
    </row>
    <row r="43" spans="1:4" ht="15.75" x14ac:dyDescent="0.25">
      <c r="A43" s="70">
        <v>210301</v>
      </c>
      <c r="B43" s="71" t="s">
        <v>123</v>
      </c>
      <c r="C43" s="72">
        <v>2</v>
      </c>
      <c r="D43" s="71">
        <v>4</v>
      </c>
    </row>
    <row r="44" spans="1:4" ht="15.75" x14ac:dyDescent="0.25">
      <c r="A44" s="70">
        <v>210302</v>
      </c>
      <c r="B44" s="71" t="s">
        <v>124</v>
      </c>
      <c r="C44" s="72">
        <v>2</v>
      </c>
      <c r="D44" s="71">
        <v>4</v>
      </c>
    </row>
    <row r="45" spans="1:4" ht="15.75" x14ac:dyDescent="0.25">
      <c r="A45" s="70">
        <v>210303</v>
      </c>
      <c r="B45" s="71" t="s">
        <v>125</v>
      </c>
      <c r="C45" s="72">
        <v>2</v>
      </c>
      <c r="D45" s="71">
        <v>4</v>
      </c>
    </row>
    <row r="46" spans="1:4" ht="15.75" x14ac:dyDescent="0.25">
      <c r="A46" s="69">
        <v>2104</v>
      </c>
      <c r="B46" s="67" t="s">
        <v>127</v>
      </c>
      <c r="C46" s="68">
        <v>2</v>
      </c>
      <c r="D46" s="67">
        <v>3</v>
      </c>
    </row>
    <row r="47" spans="1:4" ht="15.75" x14ac:dyDescent="0.25">
      <c r="A47" s="70">
        <v>210401</v>
      </c>
      <c r="B47" s="71" t="s">
        <v>128</v>
      </c>
      <c r="C47" s="72">
        <v>2</v>
      </c>
      <c r="D47" s="71">
        <v>4</v>
      </c>
    </row>
    <row r="48" spans="1:4" ht="15.75" x14ac:dyDescent="0.25">
      <c r="A48" s="70">
        <v>210402</v>
      </c>
      <c r="B48" s="71" t="s">
        <v>129</v>
      </c>
      <c r="C48" s="72">
        <v>2</v>
      </c>
      <c r="D48" s="71">
        <v>4</v>
      </c>
    </row>
    <row r="49" spans="1:4" ht="15.75" x14ac:dyDescent="0.25">
      <c r="A49" s="70">
        <v>210403</v>
      </c>
      <c r="B49" s="71" t="s">
        <v>130</v>
      </c>
      <c r="C49" s="72">
        <v>2</v>
      </c>
      <c r="D49" s="71">
        <v>4</v>
      </c>
    </row>
    <row r="50" spans="1:4" ht="15.75" x14ac:dyDescent="0.25">
      <c r="A50" s="70">
        <v>210404</v>
      </c>
      <c r="B50" s="71" t="s">
        <v>131</v>
      </c>
      <c r="C50" s="72">
        <v>2</v>
      </c>
      <c r="D50" s="71">
        <v>4</v>
      </c>
    </row>
    <row r="51" spans="1:4" ht="15.75" x14ac:dyDescent="0.25">
      <c r="A51" s="69">
        <v>2105</v>
      </c>
      <c r="B51" s="67" t="s">
        <v>132</v>
      </c>
      <c r="C51" s="68">
        <v>2</v>
      </c>
      <c r="D51" s="67">
        <v>3</v>
      </c>
    </row>
    <row r="52" spans="1:4" ht="15.75" x14ac:dyDescent="0.25">
      <c r="A52" s="70">
        <v>210501</v>
      </c>
      <c r="B52" s="71" t="s">
        <v>133</v>
      </c>
      <c r="C52" s="72">
        <v>2</v>
      </c>
      <c r="D52" s="71">
        <v>4</v>
      </c>
    </row>
    <row r="53" spans="1:4" ht="15.75" x14ac:dyDescent="0.25">
      <c r="A53" s="70">
        <v>210502</v>
      </c>
      <c r="B53" s="71" t="s">
        <v>134</v>
      </c>
      <c r="C53" s="72">
        <v>2</v>
      </c>
      <c r="D53" s="71">
        <v>4</v>
      </c>
    </row>
    <row r="54" spans="1:4" ht="15.75" x14ac:dyDescent="0.25">
      <c r="A54" s="70">
        <v>210503</v>
      </c>
      <c r="B54" s="71" t="s">
        <v>135</v>
      </c>
      <c r="C54" s="72">
        <v>2</v>
      </c>
      <c r="D54" s="71">
        <v>4</v>
      </c>
    </row>
    <row r="55" spans="1:4" ht="15.75" x14ac:dyDescent="0.25">
      <c r="A55" s="69">
        <v>2106</v>
      </c>
      <c r="B55" s="67" t="s">
        <v>136</v>
      </c>
      <c r="C55" s="68">
        <v>2</v>
      </c>
      <c r="D55" s="67">
        <v>3</v>
      </c>
    </row>
    <row r="56" spans="1:4" ht="15.75" x14ac:dyDescent="0.25">
      <c r="A56" s="69">
        <v>22</v>
      </c>
      <c r="B56" s="67" t="s">
        <v>137</v>
      </c>
      <c r="C56" s="68">
        <v>2</v>
      </c>
      <c r="D56" s="67">
        <v>2</v>
      </c>
    </row>
    <row r="57" spans="1:4" ht="15.75" x14ac:dyDescent="0.25">
      <c r="A57" s="69">
        <v>2201</v>
      </c>
      <c r="B57" s="67" t="s">
        <v>138</v>
      </c>
      <c r="C57" s="68">
        <v>2</v>
      </c>
      <c r="D57" s="67">
        <v>3</v>
      </c>
    </row>
    <row r="58" spans="1:4" ht="15.75" x14ac:dyDescent="0.25">
      <c r="A58" s="69">
        <v>2202</v>
      </c>
      <c r="B58" s="67" t="s">
        <v>139</v>
      </c>
      <c r="C58" s="68">
        <v>2</v>
      </c>
      <c r="D58" s="67">
        <v>3</v>
      </c>
    </row>
    <row r="59" spans="1:4" ht="15.75" x14ac:dyDescent="0.25">
      <c r="A59" s="69">
        <v>2203</v>
      </c>
      <c r="B59" s="67" t="s">
        <v>140</v>
      </c>
      <c r="C59" s="68">
        <v>2</v>
      </c>
      <c r="D59" s="67">
        <v>3</v>
      </c>
    </row>
    <row r="60" spans="1:4" ht="15.75" x14ac:dyDescent="0.25">
      <c r="A60" s="69">
        <v>3</v>
      </c>
      <c r="B60" s="67" t="s">
        <v>4</v>
      </c>
      <c r="C60" s="68">
        <v>3</v>
      </c>
      <c r="D60" s="67">
        <v>1</v>
      </c>
    </row>
    <row r="61" spans="1:4" ht="15.75" x14ac:dyDescent="0.25">
      <c r="A61" s="69">
        <v>31</v>
      </c>
      <c r="B61" s="67" t="s">
        <v>141</v>
      </c>
      <c r="C61" s="68">
        <v>3</v>
      </c>
      <c r="D61" s="67">
        <v>2</v>
      </c>
    </row>
    <row r="62" spans="1:4" ht="15.75" x14ac:dyDescent="0.25">
      <c r="A62" s="69">
        <v>3101</v>
      </c>
      <c r="B62" s="67" t="s">
        <v>142</v>
      </c>
      <c r="C62" s="68">
        <v>3</v>
      </c>
      <c r="D62" s="67">
        <v>3</v>
      </c>
    </row>
    <row r="63" spans="1:4" ht="15.75" x14ac:dyDescent="0.25">
      <c r="A63" s="69">
        <v>3102</v>
      </c>
      <c r="B63" s="67" t="s">
        <v>143</v>
      </c>
      <c r="C63" s="68">
        <v>3</v>
      </c>
      <c r="D63" s="67">
        <v>3</v>
      </c>
    </row>
    <row r="64" spans="1:4" ht="15.75" x14ac:dyDescent="0.25">
      <c r="A64" s="69">
        <v>32</v>
      </c>
      <c r="B64" s="67" t="s">
        <v>144</v>
      </c>
      <c r="C64" s="68">
        <v>3</v>
      </c>
      <c r="D64" s="67">
        <v>2</v>
      </c>
    </row>
    <row r="65" spans="1:4" ht="15.75" x14ac:dyDescent="0.25">
      <c r="A65" s="69">
        <v>3201</v>
      </c>
      <c r="B65" s="67" t="s">
        <v>145</v>
      </c>
      <c r="C65" s="68">
        <v>3</v>
      </c>
      <c r="D65" s="67">
        <v>3</v>
      </c>
    </row>
    <row r="66" spans="1:4" ht="15.75" x14ac:dyDescent="0.25">
      <c r="A66" s="69">
        <v>3202</v>
      </c>
      <c r="B66" s="67" t="s">
        <v>146</v>
      </c>
      <c r="C66" s="68">
        <v>3</v>
      </c>
      <c r="D66" s="67">
        <v>3</v>
      </c>
    </row>
    <row r="67" spans="1:4" ht="15.75" x14ac:dyDescent="0.25">
      <c r="A67" s="69">
        <v>4</v>
      </c>
      <c r="B67" s="67" t="s">
        <v>80</v>
      </c>
      <c r="C67" s="68">
        <v>4</v>
      </c>
      <c r="D67" s="67">
        <v>1</v>
      </c>
    </row>
    <row r="68" spans="1:4" ht="15.75" x14ac:dyDescent="0.25">
      <c r="A68" s="69">
        <v>41</v>
      </c>
      <c r="B68" s="67" t="s">
        <v>147</v>
      </c>
      <c r="C68" s="68">
        <v>4</v>
      </c>
      <c r="D68" s="67">
        <v>2</v>
      </c>
    </row>
    <row r="69" spans="1:4" ht="15.75" x14ac:dyDescent="0.25">
      <c r="A69" s="69">
        <v>4101</v>
      </c>
      <c r="B69" s="67" t="s">
        <v>148</v>
      </c>
      <c r="C69" s="68">
        <v>4</v>
      </c>
      <c r="D69" s="67">
        <v>3</v>
      </c>
    </row>
    <row r="70" spans="1:4" ht="15.75" x14ac:dyDescent="0.25">
      <c r="A70" s="70">
        <v>410101</v>
      </c>
      <c r="B70" s="71" t="s">
        <v>149</v>
      </c>
      <c r="C70" s="72">
        <v>4</v>
      </c>
      <c r="D70" s="71">
        <v>4</v>
      </c>
    </row>
    <row r="71" spans="1:4" ht="15.75" x14ac:dyDescent="0.25">
      <c r="A71" s="69">
        <v>4102</v>
      </c>
      <c r="B71" s="67" t="s">
        <v>150</v>
      </c>
      <c r="C71" s="68">
        <v>4</v>
      </c>
      <c r="D71" s="67">
        <v>3</v>
      </c>
    </row>
    <row r="72" spans="1:4" ht="15.75" x14ac:dyDescent="0.25">
      <c r="A72" s="70">
        <v>410201</v>
      </c>
      <c r="B72" s="71" t="s">
        <v>151</v>
      </c>
      <c r="C72" s="72">
        <v>4</v>
      </c>
      <c r="D72" s="71">
        <v>4</v>
      </c>
    </row>
    <row r="73" spans="1:4" ht="15.75" x14ac:dyDescent="0.25">
      <c r="A73" s="69">
        <v>4103</v>
      </c>
      <c r="B73" s="67" t="s">
        <v>152</v>
      </c>
      <c r="C73" s="68">
        <v>4</v>
      </c>
      <c r="D73" s="67">
        <v>3</v>
      </c>
    </row>
    <row r="74" spans="1:4" ht="15.75" x14ac:dyDescent="0.25">
      <c r="A74" s="70">
        <v>410301</v>
      </c>
      <c r="B74" s="71" t="s">
        <v>153</v>
      </c>
      <c r="C74" s="72">
        <v>4</v>
      </c>
      <c r="D74" s="71">
        <v>4</v>
      </c>
    </row>
    <row r="75" spans="1:4" ht="15.75" x14ac:dyDescent="0.25">
      <c r="A75" s="70">
        <v>410302</v>
      </c>
      <c r="B75" s="71" t="s">
        <v>154</v>
      </c>
      <c r="C75" s="72">
        <v>4</v>
      </c>
      <c r="D75" s="71">
        <v>4</v>
      </c>
    </row>
    <row r="76" spans="1:4" ht="15.75" x14ac:dyDescent="0.25">
      <c r="A76" s="70">
        <v>410303</v>
      </c>
      <c r="B76" s="71" t="s">
        <v>155</v>
      </c>
      <c r="C76" s="72">
        <v>4</v>
      </c>
      <c r="D76" s="71">
        <v>4</v>
      </c>
    </row>
    <row r="77" spans="1:4" ht="15.75" x14ac:dyDescent="0.25">
      <c r="A77" s="70">
        <v>410304</v>
      </c>
      <c r="B77" s="71" t="s">
        <v>156</v>
      </c>
      <c r="C77" s="72">
        <v>4</v>
      </c>
      <c r="D77" s="71">
        <v>4</v>
      </c>
    </row>
    <row r="78" spans="1:4" ht="15.75" x14ac:dyDescent="0.25">
      <c r="A78" s="70">
        <v>410305</v>
      </c>
      <c r="B78" s="71" t="s">
        <v>157</v>
      </c>
      <c r="C78" s="72">
        <v>4</v>
      </c>
      <c r="D78" s="71">
        <v>4</v>
      </c>
    </row>
    <row r="79" spans="1:4" ht="15.75" x14ac:dyDescent="0.25">
      <c r="A79" s="69">
        <v>4104</v>
      </c>
      <c r="B79" s="67" t="s">
        <v>158</v>
      </c>
      <c r="C79" s="68">
        <v>4</v>
      </c>
      <c r="D79" s="67">
        <v>3</v>
      </c>
    </row>
    <row r="80" spans="1:4" ht="15.75" x14ac:dyDescent="0.25">
      <c r="A80" s="70">
        <v>410401</v>
      </c>
      <c r="B80" s="71" t="s">
        <v>159</v>
      </c>
      <c r="C80" s="72">
        <v>4</v>
      </c>
      <c r="D80" s="71">
        <v>4</v>
      </c>
    </row>
    <row r="81" spans="1:4" ht="15.75" x14ac:dyDescent="0.25">
      <c r="A81" s="70">
        <v>410402</v>
      </c>
      <c r="B81" s="71" t="s">
        <v>161</v>
      </c>
      <c r="C81" s="72">
        <v>4</v>
      </c>
      <c r="D81" s="71">
        <v>4</v>
      </c>
    </row>
    <row r="82" spans="1:4" ht="15.75" x14ac:dyDescent="0.25">
      <c r="A82" s="70">
        <v>410403</v>
      </c>
      <c r="B82" s="71" t="s">
        <v>162</v>
      </c>
      <c r="C82" s="72">
        <v>4</v>
      </c>
      <c r="D82" s="71">
        <v>4</v>
      </c>
    </row>
    <row r="83" spans="1:4" ht="15.75" x14ac:dyDescent="0.25">
      <c r="A83" s="70">
        <v>410404</v>
      </c>
      <c r="B83" s="71" t="s">
        <v>163</v>
      </c>
      <c r="C83" s="72">
        <v>4</v>
      </c>
      <c r="D83" s="71">
        <v>4</v>
      </c>
    </row>
    <row r="84" spans="1:4" ht="15.75" x14ac:dyDescent="0.25">
      <c r="A84" s="70">
        <v>410405</v>
      </c>
      <c r="B84" s="71" t="s">
        <v>164</v>
      </c>
      <c r="C84" s="72">
        <v>4</v>
      </c>
      <c r="D84" s="71">
        <v>4</v>
      </c>
    </row>
    <row r="85" spans="1:4" ht="15.75" x14ac:dyDescent="0.25">
      <c r="A85" s="70">
        <v>410406</v>
      </c>
      <c r="B85" s="71" t="s">
        <v>165</v>
      </c>
      <c r="C85" s="72">
        <v>4</v>
      </c>
      <c r="D85" s="71">
        <v>4</v>
      </c>
    </row>
    <row r="86" spans="1:4" ht="15.75" x14ac:dyDescent="0.25">
      <c r="A86" s="69">
        <v>4105</v>
      </c>
      <c r="B86" s="67" t="s">
        <v>160</v>
      </c>
      <c r="C86" s="68">
        <v>4</v>
      </c>
      <c r="D86" s="67">
        <v>3</v>
      </c>
    </row>
    <row r="87" spans="1:4" ht="15.75" x14ac:dyDescent="0.25">
      <c r="A87" s="69">
        <v>4106</v>
      </c>
      <c r="B87" s="67" t="s">
        <v>166</v>
      </c>
      <c r="C87" s="68">
        <v>4</v>
      </c>
      <c r="D87" s="67">
        <v>3</v>
      </c>
    </row>
    <row r="88" spans="1:4" ht="15.75" x14ac:dyDescent="0.25">
      <c r="A88" s="69">
        <v>4107</v>
      </c>
      <c r="B88" s="67" t="s">
        <v>167</v>
      </c>
      <c r="C88" s="68">
        <v>4</v>
      </c>
      <c r="D88" s="67">
        <v>3</v>
      </c>
    </row>
    <row r="89" spans="1:4" ht="15.75" x14ac:dyDescent="0.25">
      <c r="A89" s="70">
        <v>410701</v>
      </c>
      <c r="B89" s="71" t="s">
        <v>168</v>
      </c>
      <c r="C89" s="72">
        <v>4</v>
      </c>
      <c r="D89" s="71">
        <v>4</v>
      </c>
    </row>
    <row r="90" spans="1:4" ht="15.75" x14ac:dyDescent="0.25">
      <c r="A90" s="70">
        <v>410702</v>
      </c>
      <c r="B90" s="71" t="s">
        <v>169</v>
      </c>
      <c r="C90" s="72">
        <v>4</v>
      </c>
      <c r="D90" s="71">
        <v>4</v>
      </c>
    </row>
    <row r="91" spans="1:4" ht="15.75" x14ac:dyDescent="0.25">
      <c r="A91" s="70">
        <v>410703</v>
      </c>
      <c r="B91" s="71" t="s">
        <v>170</v>
      </c>
      <c r="C91" s="72">
        <v>4</v>
      </c>
      <c r="D91" s="71">
        <v>4</v>
      </c>
    </row>
    <row r="92" spans="1:4" ht="15.75" x14ac:dyDescent="0.25">
      <c r="A92" s="69">
        <v>42</v>
      </c>
      <c r="B92" s="67" t="s">
        <v>171</v>
      </c>
      <c r="C92" s="68">
        <v>4</v>
      </c>
      <c r="D92" s="67">
        <v>2</v>
      </c>
    </row>
    <row r="93" spans="1:4" ht="15.75" x14ac:dyDescent="0.25">
      <c r="A93" s="69">
        <v>4201</v>
      </c>
      <c r="B93" s="67" t="s">
        <v>172</v>
      </c>
      <c r="C93" s="68">
        <v>4</v>
      </c>
      <c r="D93" s="67">
        <v>3</v>
      </c>
    </row>
    <row r="94" spans="1:4" ht="15.75" x14ac:dyDescent="0.25">
      <c r="A94" s="70">
        <v>420101</v>
      </c>
      <c r="B94" s="71" t="s">
        <v>173</v>
      </c>
      <c r="C94" s="72">
        <v>4</v>
      </c>
      <c r="D94" s="71">
        <v>4</v>
      </c>
    </row>
    <row r="95" spans="1:4" ht="15.75" x14ac:dyDescent="0.25">
      <c r="A95" s="69">
        <v>4202</v>
      </c>
      <c r="B95" s="67" t="s">
        <v>175</v>
      </c>
      <c r="C95" s="68">
        <v>4</v>
      </c>
      <c r="D95" s="67">
        <v>3</v>
      </c>
    </row>
    <row r="96" spans="1:4" ht="15.75" x14ac:dyDescent="0.25">
      <c r="A96" s="69">
        <v>4203</v>
      </c>
      <c r="B96" s="67" t="s">
        <v>174</v>
      </c>
      <c r="C96" s="68">
        <v>4</v>
      </c>
      <c r="D96" s="67">
        <v>3</v>
      </c>
    </row>
    <row r="97" spans="1:4" ht="15.75" x14ac:dyDescent="0.25">
      <c r="A97" s="69">
        <v>4204</v>
      </c>
      <c r="B97" s="67" t="s">
        <v>176</v>
      </c>
      <c r="C97" s="68">
        <v>4</v>
      </c>
      <c r="D97" s="67">
        <v>3</v>
      </c>
    </row>
    <row r="98" spans="1:4" ht="15.75" x14ac:dyDescent="0.25">
      <c r="A98" s="69">
        <v>4205</v>
      </c>
      <c r="B98" s="67" t="s">
        <v>177</v>
      </c>
      <c r="C98" s="68">
        <v>4</v>
      </c>
      <c r="D98" s="67">
        <v>3</v>
      </c>
    </row>
    <row r="99" spans="1:4" ht="15.75" x14ac:dyDescent="0.25">
      <c r="A99" s="69">
        <v>5</v>
      </c>
      <c r="B99" s="67" t="s">
        <v>178</v>
      </c>
      <c r="C99" s="68">
        <v>5</v>
      </c>
      <c r="D99" s="67">
        <v>1</v>
      </c>
    </row>
    <row r="100" spans="1:4" ht="15.75" x14ac:dyDescent="0.25">
      <c r="A100" s="69">
        <v>51</v>
      </c>
      <c r="B100" s="67" t="s">
        <v>179</v>
      </c>
      <c r="C100" s="68">
        <v>5</v>
      </c>
      <c r="D100" s="67">
        <v>2</v>
      </c>
    </row>
    <row r="101" spans="1:4" ht="15.75" x14ac:dyDescent="0.25">
      <c r="A101" s="69">
        <v>5101</v>
      </c>
      <c r="B101" s="67" t="s">
        <v>180</v>
      </c>
      <c r="C101" s="68">
        <v>5</v>
      </c>
      <c r="D101" s="67">
        <v>3</v>
      </c>
    </row>
    <row r="102" spans="1:4" ht="15.75" x14ac:dyDescent="0.25">
      <c r="A102" s="70">
        <v>510101</v>
      </c>
      <c r="B102" s="71" t="s">
        <v>181</v>
      </c>
      <c r="C102" s="72">
        <v>5</v>
      </c>
      <c r="D102" s="71">
        <v>4</v>
      </c>
    </row>
    <row r="103" spans="1:4" ht="15.75" x14ac:dyDescent="0.25">
      <c r="A103" s="69">
        <v>52</v>
      </c>
      <c r="B103" s="67" t="s">
        <v>182</v>
      </c>
      <c r="C103" s="68">
        <v>5</v>
      </c>
      <c r="D103" s="67">
        <v>2</v>
      </c>
    </row>
    <row r="104" spans="1:4" ht="15.75" x14ac:dyDescent="0.25">
      <c r="A104" s="69">
        <v>5201</v>
      </c>
      <c r="B104" s="67" t="s">
        <v>183</v>
      </c>
      <c r="C104" s="68">
        <v>5</v>
      </c>
      <c r="D104" s="67">
        <v>3</v>
      </c>
    </row>
    <row r="105" spans="1:4" ht="15.75" x14ac:dyDescent="0.25">
      <c r="A105" s="70">
        <v>520101</v>
      </c>
      <c r="B105" s="71" t="s">
        <v>184</v>
      </c>
      <c r="C105" s="72">
        <v>5</v>
      </c>
      <c r="D105" s="71">
        <v>4</v>
      </c>
    </row>
    <row r="106" spans="1:4" ht="15.75" x14ac:dyDescent="0.25">
      <c r="A106" s="69">
        <v>6</v>
      </c>
      <c r="B106" s="67" t="s">
        <v>185</v>
      </c>
      <c r="C106" s="68">
        <v>6</v>
      </c>
      <c r="D106" s="67">
        <v>1</v>
      </c>
    </row>
    <row r="107" spans="1:4" ht="15.75" x14ac:dyDescent="0.25">
      <c r="A107" s="69">
        <v>61</v>
      </c>
      <c r="B107" s="67" t="s">
        <v>186</v>
      </c>
      <c r="C107" s="68">
        <v>6</v>
      </c>
      <c r="D107" s="67">
        <v>2</v>
      </c>
    </row>
    <row r="108" spans="1:4" ht="15.75" x14ac:dyDescent="0.25">
      <c r="A108" s="69">
        <v>6101</v>
      </c>
      <c r="B108" s="67" t="s">
        <v>187</v>
      </c>
      <c r="C108" s="68">
        <v>6</v>
      </c>
      <c r="D108" s="67">
        <v>3</v>
      </c>
    </row>
    <row r="109" spans="1:4" x14ac:dyDescent="0.25">
      <c r="A109" s="3"/>
    </row>
    <row r="110" spans="1:4" x14ac:dyDescent="0.25">
      <c r="A110" s="3"/>
    </row>
    <row r="111" spans="1:4" x14ac:dyDescent="0.25">
      <c r="A111" s="62"/>
      <c r="B111" s="25"/>
      <c r="C111" s="63"/>
    </row>
    <row r="112" spans="1:4" x14ac:dyDescent="0.25">
      <c r="A112" s="62"/>
      <c r="B112" s="25"/>
      <c r="C112" s="63"/>
    </row>
    <row r="113" spans="1:4" x14ac:dyDescent="0.25">
      <c r="A113" s="59"/>
      <c r="B113" s="60"/>
      <c r="C113" s="61"/>
    </row>
    <row r="114" spans="1:4" x14ac:dyDescent="0.25">
      <c r="A114" s="62"/>
      <c r="B114" s="25"/>
      <c r="C114" s="63"/>
    </row>
    <row r="115" spans="1:4" x14ac:dyDescent="0.25">
      <c r="A115" s="62"/>
      <c r="B115" s="25"/>
      <c r="C115" s="63"/>
    </row>
    <row r="116" spans="1:4" x14ac:dyDescent="0.25">
      <c r="A116" s="65"/>
      <c r="B116" s="64"/>
      <c r="C116" s="66"/>
    </row>
    <row r="117" spans="1:4" x14ac:dyDescent="0.25">
      <c r="A117" s="65"/>
      <c r="B117" s="64"/>
      <c r="C117" s="63"/>
    </row>
    <row r="118" spans="1:4" x14ac:dyDescent="0.25">
      <c r="A118" s="59"/>
      <c r="B118" s="60"/>
      <c r="C118" s="61"/>
    </row>
    <row r="119" spans="1:4" x14ac:dyDescent="0.25">
      <c r="A119" s="62"/>
      <c r="B119" s="25"/>
      <c r="C119" s="63"/>
    </row>
    <row r="120" spans="1:4" x14ac:dyDescent="0.25">
      <c r="A120" s="62"/>
      <c r="B120" s="25"/>
      <c r="C120" s="63"/>
    </row>
    <row r="121" spans="1:4" x14ac:dyDescent="0.25">
      <c r="A121" s="62"/>
      <c r="B121" s="25"/>
      <c r="C121" s="63"/>
      <c r="D121">
        <v>4</v>
      </c>
    </row>
    <row r="122" spans="1:4" x14ac:dyDescent="0.25">
      <c r="A122" s="65"/>
      <c r="B122" s="64"/>
      <c r="C122" s="66"/>
    </row>
    <row r="123" spans="1:4" x14ac:dyDescent="0.25">
      <c r="A123" s="65"/>
      <c r="B123" s="64"/>
      <c r="C123" s="63"/>
    </row>
    <row r="124" spans="1:4" x14ac:dyDescent="0.25">
      <c r="A124" s="59"/>
      <c r="B124" s="60"/>
      <c r="C124" s="61"/>
    </row>
    <row r="125" spans="1:4" x14ac:dyDescent="0.25">
      <c r="A125" s="62"/>
      <c r="B125" s="25"/>
      <c r="C125" s="63"/>
    </row>
    <row r="126" spans="1:4" x14ac:dyDescent="0.25">
      <c r="A126" s="62"/>
      <c r="B126" s="25"/>
      <c r="C126" s="63"/>
    </row>
    <row r="127" spans="1:4" x14ac:dyDescent="0.25">
      <c r="A127" s="62"/>
      <c r="B127" s="25"/>
      <c r="C127" s="63"/>
    </row>
    <row r="128" spans="1:4" x14ac:dyDescent="0.25">
      <c r="A128" s="62"/>
      <c r="B128" s="25"/>
      <c r="C128" s="63"/>
    </row>
    <row r="129" spans="1:4" x14ac:dyDescent="0.25">
      <c r="A129" s="59"/>
      <c r="B129" s="60"/>
      <c r="C129" s="61"/>
    </row>
    <row r="130" spans="1:4" x14ac:dyDescent="0.25">
      <c r="A130" s="62"/>
      <c r="B130" s="25"/>
      <c r="C130" s="63"/>
    </row>
    <row r="131" spans="1:4" x14ac:dyDescent="0.25">
      <c r="A131" s="65"/>
      <c r="B131" s="64"/>
      <c r="C131" s="66"/>
    </row>
    <row r="132" spans="1:4" x14ac:dyDescent="0.25">
      <c r="A132" s="65"/>
      <c r="B132" s="64"/>
      <c r="C132" s="63"/>
    </row>
    <row r="133" spans="1:4" x14ac:dyDescent="0.25">
      <c r="A133" s="59"/>
      <c r="B133" s="60"/>
      <c r="C133" s="61"/>
      <c r="D133">
        <v>5</v>
      </c>
    </row>
    <row r="134" spans="1:4" x14ac:dyDescent="0.25">
      <c r="A134" s="3"/>
      <c r="D134">
        <v>5</v>
      </c>
    </row>
  </sheetData>
  <sortState xmlns:xlrd2="http://schemas.microsoft.com/office/spreadsheetml/2017/richdata2" ref="A2:D108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/>
  </sheetPr>
  <dimension ref="A1:G16"/>
  <sheetViews>
    <sheetView showGridLines="0" workbookViewId="0">
      <selection activeCell="C6" sqref="C6"/>
    </sheetView>
  </sheetViews>
  <sheetFormatPr baseColWidth="10" defaultRowHeight="15" x14ac:dyDescent="0.25"/>
  <cols>
    <col min="1" max="1" width="10.7109375" style="1" customWidth="1"/>
    <col min="2" max="2" width="10.42578125" bestFit="1" customWidth="1"/>
    <col min="3" max="3" width="45.140625" customWidth="1"/>
    <col min="4" max="4" width="11.42578125" style="2"/>
    <col min="5" max="5" width="28.85546875" bestFit="1" customWidth="1"/>
    <col min="6" max="6" width="13.5703125" style="4" customWidth="1"/>
    <col min="7" max="7" width="12" style="4" customWidth="1"/>
  </cols>
  <sheetData>
    <row r="1" spans="1:7" x14ac:dyDescent="0.25">
      <c r="A1" s="21" t="s">
        <v>13</v>
      </c>
      <c r="B1" s="22" t="s">
        <v>11</v>
      </c>
      <c r="C1" s="22" t="s">
        <v>12</v>
      </c>
      <c r="D1" s="22" t="s">
        <v>5</v>
      </c>
      <c r="E1" s="23" t="s">
        <v>1</v>
      </c>
      <c r="F1" s="24" t="s">
        <v>9</v>
      </c>
      <c r="G1" s="24" t="s">
        <v>10</v>
      </c>
    </row>
    <row r="2" spans="1:7" x14ac:dyDescent="0.25">
      <c r="A2" s="1">
        <v>1</v>
      </c>
      <c r="B2" s="5">
        <v>42607</v>
      </c>
      <c r="C2" t="s">
        <v>28</v>
      </c>
      <c r="D2" s="2">
        <v>1020101</v>
      </c>
      <c r="E2" t="s">
        <v>18</v>
      </c>
      <c r="F2" s="4">
        <v>100000</v>
      </c>
    </row>
    <row r="3" spans="1:7" x14ac:dyDescent="0.25">
      <c r="C3" t="s">
        <v>29</v>
      </c>
      <c r="D3" s="2">
        <v>3010101</v>
      </c>
      <c r="E3" t="s">
        <v>20</v>
      </c>
      <c r="G3" s="4">
        <v>50000</v>
      </c>
    </row>
    <row r="4" spans="1:7" x14ac:dyDescent="0.25">
      <c r="C4" t="s">
        <v>30</v>
      </c>
      <c r="D4" s="2">
        <v>3010102</v>
      </c>
      <c r="E4" t="s">
        <v>21</v>
      </c>
      <c r="G4" s="4">
        <v>25000</v>
      </c>
    </row>
    <row r="5" spans="1:7" x14ac:dyDescent="0.25">
      <c r="A5" s="6"/>
      <c r="B5" s="7"/>
      <c r="C5" s="7" t="s">
        <v>30</v>
      </c>
      <c r="D5" s="8">
        <v>3010103</v>
      </c>
      <c r="E5" s="7" t="s">
        <v>22</v>
      </c>
      <c r="F5" s="9"/>
      <c r="G5" s="9">
        <v>25000</v>
      </c>
    </row>
    <row r="6" spans="1:7" x14ac:dyDescent="0.25">
      <c r="A6" s="1">
        <v>2</v>
      </c>
      <c r="B6" s="5">
        <v>42607</v>
      </c>
      <c r="C6" t="s">
        <v>26</v>
      </c>
      <c r="D6" s="2">
        <v>1170101</v>
      </c>
      <c r="E6" t="s">
        <v>25</v>
      </c>
      <c r="F6" s="4">
        <v>156</v>
      </c>
    </row>
    <row r="7" spans="1:7" x14ac:dyDescent="0.25">
      <c r="C7" t="s">
        <v>27</v>
      </c>
      <c r="D7" s="2">
        <v>1160101</v>
      </c>
      <c r="E7" t="s">
        <v>23</v>
      </c>
      <c r="F7" s="4">
        <v>1200</v>
      </c>
    </row>
    <row r="8" spans="1:7" x14ac:dyDescent="0.25">
      <c r="A8" s="6"/>
      <c r="B8" s="7"/>
      <c r="C8" s="7" t="s">
        <v>31</v>
      </c>
      <c r="D8" s="8">
        <v>1020101</v>
      </c>
      <c r="E8" s="7" t="s">
        <v>18</v>
      </c>
      <c r="F8" s="9"/>
      <c r="G8" s="9">
        <v>1356</v>
      </c>
    </row>
    <row r="9" spans="1:7" x14ac:dyDescent="0.25">
      <c r="A9" s="1">
        <v>3</v>
      </c>
      <c r="B9" s="5">
        <v>42607</v>
      </c>
      <c r="C9" t="s">
        <v>32</v>
      </c>
      <c r="D9" s="2">
        <v>11102</v>
      </c>
      <c r="E9" t="s">
        <v>6</v>
      </c>
      <c r="F9" s="4">
        <v>2825</v>
      </c>
    </row>
    <row r="10" spans="1:7" x14ac:dyDescent="0.25">
      <c r="C10" t="s">
        <v>33</v>
      </c>
      <c r="D10" s="2">
        <v>20201</v>
      </c>
      <c r="E10" t="s">
        <v>24</v>
      </c>
      <c r="G10" s="4">
        <v>325</v>
      </c>
    </row>
    <row r="11" spans="1:7" x14ac:dyDescent="0.25">
      <c r="A11" s="6"/>
      <c r="B11" s="7"/>
      <c r="C11" s="7" t="s">
        <v>34</v>
      </c>
      <c r="D11" s="8">
        <v>40102</v>
      </c>
      <c r="E11" s="7" t="s">
        <v>19</v>
      </c>
      <c r="F11" s="9"/>
      <c r="G11" s="9">
        <v>2500</v>
      </c>
    </row>
    <row r="12" spans="1:7" x14ac:dyDescent="0.25">
      <c r="A12" s="1">
        <v>4</v>
      </c>
      <c r="B12" s="5">
        <v>44487</v>
      </c>
      <c r="C12" t="s">
        <v>26</v>
      </c>
      <c r="D12" s="2">
        <v>1170101</v>
      </c>
      <c r="E12" t="s">
        <v>36</v>
      </c>
      <c r="F12" s="4">
        <v>390</v>
      </c>
    </row>
    <row r="13" spans="1:7" x14ac:dyDescent="0.25">
      <c r="C13" t="s">
        <v>37</v>
      </c>
      <c r="D13" s="2">
        <v>12604</v>
      </c>
      <c r="E13" t="s">
        <v>8</v>
      </c>
      <c r="F13" s="4">
        <v>3000</v>
      </c>
    </row>
    <row r="14" spans="1:7" x14ac:dyDescent="0.25">
      <c r="A14" s="6"/>
      <c r="B14" s="7"/>
      <c r="C14" s="7" t="s">
        <v>38</v>
      </c>
      <c r="D14" s="8">
        <v>10101</v>
      </c>
      <c r="E14" s="7" t="s">
        <v>7</v>
      </c>
      <c r="F14" s="9"/>
      <c r="G14" s="9">
        <v>3390</v>
      </c>
    </row>
    <row r="15" spans="1:7" x14ac:dyDescent="0.25">
      <c r="A15" s="1">
        <v>5</v>
      </c>
      <c r="B15" s="5">
        <v>44489</v>
      </c>
      <c r="C15" t="s">
        <v>92</v>
      </c>
      <c r="D15" s="2">
        <v>110101</v>
      </c>
      <c r="E15" t="s">
        <v>7</v>
      </c>
      <c r="F15" s="4">
        <v>13560</v>
      </c>
    </row>
    <row r="16" spans="1:7" x14ac:dyDescent="0.25">
      <c r="A16" s="6"/>
      <c r="B16" s="7"/>
      <c r="C16" s="7" t="s">
        <v>189</v>
      </c>
      <c r="D16" s="8">
        <v>110201</v>
      </c>
      <c r="E16" s="7" t="s">
        <v>93</v>
      </c>
      <c r="F16" s="9"/>
      <c r="G16" s="9">
        <v>13560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DDFFE1"/>
  </sheetPr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viarAMayor">
                <anchor moveWithCells="1">
                  <from>
                    <xdr:col>10</xdr:col>
                    <xdr:colOff>609600</xdr:colOff>
                    <xdr:row>2</xdr:row>
                    <xdr:rowOff>171450</xdr:rowOff>
                  </from>
                  <to>
                    <xdr:col>11</xdr:col>
                    <xdr:colOff>342900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DDFFE1"/>
  </sheetPr>
  <dimension ref="A1:I16"/>
  <sheetViews>
    <sheetView workbookViewId="0">
      <selection activeCell="B25" sqref="B25"/>
    </sheetView>
  </sheetViews>
  <sheetFormatPr baseColWidth="10" defaultRowHeight="15" x14ac:dyDescent="0.25"/>
  <cols>
    <col min="2" max="2" width="39.28515625" customWidth="1"/>
    <col min="3" max="3" width="43.7109375" customWidth="1"/>
    <col min="4" max="4" width="19.85546875" customWidth="1"/>
  </cols>
  <sheetData>
    <row r="1" spans="1:9" x14ac:dyDescent="0.25">
      <c r="G1" s="40"/>
    </row>
    <row r="2" spans="1:9" ht="18.75" x14ac:dyDescent="0.3">
      <c r="A2" s="40"/>
      <c r="B2" s="53" t="s">
        <v>79</v>
      </c>
      <c r="C2" s="40"/>
      <c r="D2" s="40"/>
      <c r="G2" s="27"/>
      <c r="H2" s="28"/>
    </row>
    <row r="3" spans="1:9" x14ac:dyDescent="0.25">
      <c r="B3" s="29"/>
      <c r="C3" s="28"/>
      <c r="D3" s="28"/>
    </row>
    <row r="4" spans="1:9" x14ac:dyDescent="0.25">
      <c r="B4" s="29"/>
      <c r="C4" s="28"/>
      <c r="D4" s="28"/>
      <c r="G4" s="40"/>
    </row>
    <row r="5" spans="1:9" x14ac:dyDescent="0.25">
      <c r="A5" s="47" t="s">
        <v>58</v>
      </c>
      <c r="B5" s="47" t="s">
        <v>59</v>
      </c>
      <c r="C5" s="47" t="s">
        <v>60</v>
      </c>
      <c r="D5" s="47" t="s">
        <v>61</v>
      </c>
    </row>
    <row r="6" spans="1:9" x14ac:dyDescent="0.25">
      <c r="A6" s="43" t="s">
        <v>62</v>
      </c>
      <c r="B6" s="41" t="s">
        <v>63</v>
      </c>
      <c r="C6" s="41" t="s">
        <v>64</v>
      </c>
      <c r="D6" s="45">
        <v>105.45780000000001</v>
      </c>
    </row>
    <row r="7" spans="1:9" x14ac:dyDescent="0.25">
      <c r="A7" s="44" t="s">
        <v>65</v>
      </c>
      <c r="B7" s="42" t="s">
        <v>66</v>
      </c>
      <c r="C7" s="42" t="s">
        <v>67</v>
      </c>
      <c r="D7" s="46"/>
      <c r="G7" s="40"/>
    </row>
    <row r="8" spans="1:9" x14ac:dyDescent="0.25">
      <c r="A8" s="43" t="s">
        <v>68</v>
      </c>
      <c r="B8" s="41" t="s">
        <v>69</v>
      </c>
      <c r="C8" s="41" t="s">
        <v>70</v>
      </c>
      <c r="D8" s="45"/>
      <c r="H8" s="33"/>
      <c r="I8" s="34"/>
    </row>
    <row r="9" spans="1:9" x14ac:dyDescent="0.25">
      <c r="A9" s="44" t="s">
        <v>71</v>
      </c>
      <c r="B9" s="42" t="s">
        <v>72</v>
      </c>
      <c r="C9" s="42" t="s">
        <v>73</v>
      </c>
      <c r="D9" s="46">
        <v>104.3039</v>
      </c>
    </row>
    <row r="10" spans="1:9" x14ac:dyDescent="0.25">
      <c r="A10" s="48" t="s">
        <v>74</v>
      </c>
      <c r="B10" s="49" t="s">
        <v>75</v>
      </c>
      <c r="C10" s="49" t="s">
        <v>76</v>
      </c>
      <c r="D10" s="50"/>
      <c r="G10" s="40"/>
      <c r="H10" s="38"/>
    </row>
    <row r="11" spans="1:9" ht="15.75" x14ac:dyDescent="0.25">
      <c r="A11" s="35"/>
      <c r="B11" s="29"/>
      <c r="C11" s="37"/>
      <c r="D11" s="28"/>
    </row>
    <row r="12" spans="1:9" x14ac:dyDescent="0.25">
      <c r="G12" s="40"/>
      <c r="H12" s="38"/>
    </row>
    <row r="13" spans="1:9" x14ac:dyDescent="0.25">
      <c r="C13" s="28"/>
    </row>
    <row r="14" spans="1:9" x14ac:dyDescent="0.25">
      <c r="C14" s="29"/>
    </row>
    <row r="15" spans="1:9" x14ac:dyDescent="0.25">
      <c r="C15" s="29"/>
      <c r="H15" s="33"/>
    </row>
    <row r="16" spans="1:9" x14ac:dyDescent="0.25">
      <c r="C16" s="29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DDFFE1"/>
  </sheetPr>
  <dimension ref="A1:J16"/>
  <sheetViews>
    <sheetView workbookViewId="0">
      <selection activeCell="F20" sqref="F20"/>
    </sheetView>
  </sheetViews>
  <sheetFormatPr baseColWidth="10" defaultRowHeight="15" x14ac:dyDescent="0.25"/>
  <cols>
    <col min="1" max="1" width="17.5703125" customWidth="1"/>
    <col min="7" max="7" width="16.42578125" customWidth="1"/>
    <col min="8" max="8" width="13.85546875" customWidth="1"/>
  </cols>
  <sheetData>
    <row r="1" spans="1:10" x14ac:dyDescent="0.25">
      <c r="G1" s="26" t="s">
        <v>39</v>
      </c>
      <c r="H1" t="s">
        <v>40</v>
      </c>
      <c r="I1" t="s">
        <v>41</v>
      </c>
      <c r="J1" t="s">
        <v>42</v>
      </c>
    </row>
    <row r="2" spans="1:10" x14ac:dyDescent="0.25">
      <c r="A2" s="10" t="s">
        <v>43</v>
      </c>
      <c r="B2" s="10" t="s">
        <v>44</v>
      </c>
      <c r="C2" s="10" t="s">
        <v>45</v>
      </c>
      <c r="D2" s="10" t="s">
        <v>46</v>
      </c>
      <c r="G2" s="27"/>
      <c r="H2" s="28"/>
    </row>
    <row r="3" spans="1:10" x14ac:dyDescent="0.25">
      <c r="A3" t="s">
        <v>47</v>
      </c>
      <c r="B3" s="29">
        <f t="shared" ref="B3" si="0">H2*7</f>
        <v>0</v>
      </c>
      <c r="C3" s="28">
        <f>Tabla45[[#This Row],[Semanal ]]/52</f>
        <v>0</v>
      </c>
      <c r="D3" s="28"/>
    </row>
    <row r="4" spans="1:10" x14ac:dyDescent="0.25">
      <c r="A4" t="s">
        <v>48</v>
      </c>
      <c r="B4" s="29">
        <f>((H8*H2)+I8*(H8*H2))/52</f>
        <v>0</v>
      </c>
      <c r="C4" s="28"/>
      <c r="D4" s="28"/>
      <c r="G4" s="26" t="s">
        <v>49</v>
      </c>
      <c r="H4" t="s">
        <v>50</v>
      </c>
      <c r="I4" t="s">
        <v>51</v>
      </c>
    </row>
    <row r="5" spans="1:10" x14ac:dyDescent="0.25">
      <c r="A5" t="s">
        <v>49</v>
      </c>
      <c r="B5" s="29">
        <f>(I5*H2)/52</f>
        <v>0</v>
      </c>
      <c r="C5" s="28"/>
      <c r="D5" s="28"/>
      <c r="I5">
        <f>IF(H5=1,10,IF(H5&lt;4,10,IF(H5=4,15,IF(H5&lt;11,15,18))))</f>
        <v>10</v>
      </c>
    </row>
    <row r="6" spans="1:10" x14ac:dyDescent="0.25">
      <c r="A6" t="s">
        <v>52</v>
      </c>
      <c r="B6" s="29">
        <f>(B3+B4)*H10</f>
        <v>0</v>
      </c>
      <c r="C6" s="28"/>
      <c r="D6" s="28"/>
      <c r="J6">
        <f>IF(I5&gt;=1,10,IF(I5&lt;=3,10,IF(I5&lt;=10,15,18)))</f>
        <v>10</v>
      </c>
    </row>
    <row r="7" spans="1:10" x14ac:dyDescent="0.25">
      <c r="A7" t="s">
        <v>53</v>
      </c>
      <c r="B7" s="29">
        <f>(B3+B4)*H12</f>
        <v>0</v>
      </c>
      <c r="C7" s="28"/>
      <c r="D7" s="28"/>
      <c r="G7" s="26" t="s">
        <v>48</v>
      </c>
      <c r="H7" t="s">
        <v>51</v>
      </c>
      <c r="I7" t="s">
        <v>54</v>
      </c>
    </row>
    <row r="8" spans="1:10" x14ac:dyDescent="0.25">
      <c r="B8" s="30"/>
      <c r="C8" s="31"/>
      <c r="D8" s="32"/>
      <c r="H8" s="33">
        <v>15</v>
      </c>
      <c r="I8" s="34">
        <v>0.3</v>
      </c>
    </row>
    <row r="9" spans="1:10" ht="15.75" x14ac:dyDescent="0.25">
      <c r="A9" s="35" t="s">
        <v>61</v>
      </c>
      <c r="B9" s="36">
        <f>SUM(B3:B7)</f>
        <v>0</v>
      </c>
      <c r="C9" s="36">
        <f t="shared" ref="C9:D9" si="1">SUM(C3:C7)</f>
        <v>0</v>
      </c>
      <c r="D9" s="36">
        <f t="shared" si="1"/>
        <v>0</v>
      </c>
    </row>
    <row r="10" spans="1:10" x14ac:dyDescent="0.25">
      <c r="B10" s="29"/>
      <c r="C10" s="37"/>
      <c r="D10" s="28"/>
      <c r="G10" s="26" t="s">
        <v>52</v>
      </c>
      <c r="H10" s="38">
        <v>7.4999999999999997E-2</v>
      </c>
    </row>
    <row r="11" spans="1:10" ht="15.75" x14ac:dyDescent="0.25">
      <c r="A11" s="35" t="s">
        <v>78</v>
      </c>
      <c r="B11" s="29">
        <f>H2*I2</f>
        <v>0</v>
      </c>
      <c r="C11" s="37">
        <f>+H2</f>
        <v>0</v>
      </c>
      <c r="D11" s="28"/>
    </row>
    <row r="12" spans="1:10" x14ac:dyDescent="0.25">
      <c r="G12" s="26" t="s">
        <v>53</v>
      </c>
      <c r="H12" s="38">
        <v>7.7499999999999999E-2</v>
      </c>
    </row>
    <row r="13" spans="1:10" x14ac:dyDescent="0.25">
      <c r="B13" t="s">
        <v>55</v>
      </c>
      <c r="C13" s="28"/>
    </row>
    <row r="14" spans="1:10" x14ac:dyDescent="0.25">
      <c r="B14" t="s">
        <v>56</v>
      </c>
      <c r="C14" s="29">
        <f>H2*I2</f>
        <v>0</v>
      </c>
    </row>
    <row r="15" spans="1:10" x14ac:dyDescent="0.25">
      <c r="B15" t="s">
        <v>45</v>
      </c>
      <c r="C15" s="29">
        <f>+H2</f>
        <v>0</v>
      </c>
      <c r="G15" s="39" t="s">
        <v>57</v>
      </c>
      <c r="H15" s="33" t="e">
        <f>B9/C14</f>
        <v>#DIV/0!</v>
      </c>
    </row>
    <row r="16" spans="1:10" x14ac:dyDescent="0.25">
      <c r="B16" t="s">
        <v>46</v>
      </c>
      <c r="C16" s="29" t="e">
        <f>H2/J2</f>
        <v>#DIV/0!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onta" label="Contabilidad">
          <button id="asientos" label="Asientos" onAction="form_Asientos" size="large" imageMso="MasterPageAddNew"/>
          <button id="cuentas" label="Catalogo de Cuentas" size="large" onAction="form_ListaCuentas" imageMso="BuildingBlocksOrganizer"/>
          <button id="adminCuentas" label="Administrar Cuentas" size="large" onAction="form_AdminCuentas" imageMso="AssetSettings"/>
          <button id="libro_diario" label="Libro Diario" onAction="form_asientos" size="large" imageMso="CreateReport"/>
          <button id="libro_mayor" label="Libro Mayor" onAction="form_libroMayor" size="large" imageMso="PivotTableBlankRowsRemov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</group>
        <group id="estados" label="Estados Financieros">
          <button id="balComprobacion" label="Balance de Comprobación" size="large" imageMso="ConflictsAcceptMenu"/>
          <button id="resultados" label="Estado de Resultados" size="large" imageMso="AccessReportMore"/>
          <button id="capital" label="Estado de Capital" size="large" imageMso="ReportsProject"/>
          <button id="balance" label="Balance General" size="large" imageMso="MasterDocumentShow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Catalogo</vt:lpstr>
      <vt:lpstr>Libro Diario</vt:lpstr>
      <vt:lpstr>Libro Mayor</vt:lpstr>
      <vt:lpstr>Empleados</vt:lpstr>
      <vt:lpstr>Prestaciones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DELL</cp:lastModifiedBy>
  <dcterms:created xsi:type="dcterms:W3CDTF">2016-07-09T00:03:04Z</dcterms:created>
  <dcterms:modified xsi:type="dcterms:W3CDTF">2021-10-20T08:15:15Z</dcterms:modified>
</cp:coreProperties>
</file>