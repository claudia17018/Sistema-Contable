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Contables\Sistema-Contable\"/>
    </mc:Choice>
  </mc:AlternateContent>
  <xr:revisionPtr revIDLastSave="0" documentId="13_ncr:1_{153E030A-DE18-4482-B968-E0B839044F45}" xr6:coauthVersionLast="47" xr6:coauthVersionMax="47" xr10:uidLastSave="{00000000-0000-0000-0000-000000000000}"/>
  <bookViews>
    <workbookView xWindow="810" yWindow="-120" windowWidth="19800" windowHeight="11760" tabRatio="766" activeTab="1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Empleados" sheetId="6" r:id="rId5"/>
    <sheet name="Prestacione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<sst xmlns="http://schemas.openxmlformats.org/spreadsheetml/2006/main" count="119" uniqueCount="103">
  <si>
    <t>GRUPO</t>
  </si>
  <si>
    <t>NOMBRE DE LA CUENTA</t>
  </si>
  <si>
    <t>ACTIVO</t>
  </si>
  <si>
    <t>PASIVO</t>
  </si>
  <si>
    <t>PATRIMONIO</t>
  </si>
  <si>
    <t>CUENTA</t>
  </si>
  <si>
    <t>CLIENTES DEL EXTERIOR</t>
  </si>
  <si>
    <t>CAJA</t>
  </si>
  <si>
    <t>MOBILIARIO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</si>
  <si>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</si>
  <si>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</si>
  <si>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</si>
  <si>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</si>
  <si>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</si>
  <si>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</si>
  <si>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</si>
  <si>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</si>
  <si>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</si>
  <si>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CUENTA CORRIENTE #34567865456</t>
  </si>
  <si>
    <t>VENTAS AL CREDITO</t>
  </si>
  <si>
    <t>OTTO JAVIER GONZALEZ</t>
  </si>
  <si>
    <t>ALEJANDRO JAVIER GONZALEZ</t>
  </si>
  <si>
    <t>ANDREA CAROLINA GONZALEZ</t>
  </si>
  <si>
    <t>ARRENDAMIENTOS</t>
  </si>
  <si>
    <t>IVA DÉBITO FISCAL 13%</t>
  </si>
  <si>
    <t>IVA CREDITO FISCAL 13%</t>
  </si>
  <si>
    <t>CRÉDITO FISCAL</t>
  </si>
  <si>
    <t>VALOR PAGO 3 MESES POR ANTICIPADO</t>
  </si>
  <si>
    <t>VALOR POR APERTURA DE SOCIEDAD</t>
  </si>
  <si>
    <t>CAPITAL SOCIAL SUSCRITO EN UN 50%</t>
  </si>
  <si>
    <t>CAPITAL SOCIAL SUSCRITO EN UN 25%</t>
  </si>
  <si>
    <t>PAGO CON CHEQUE BAC #254</t>
  </si>
  <si>
    <t>VALOR POR VENTA DE PRODUCTOS AL CRÉDITO</t>
  </si>
  <si>
    <t>DÉBITO FISCAL</t>
  </si>
  <si>
    <t>INGRESO POR VENTA AL CRÉDITO A UN PLAZO DE 30 DÍAS</t>
  </si>
  <si>
    <t>NIVEL</t>
  </si>
  <si>
    <t>IVA CRÉDITO FISCAL 13%</t>
  </si>
  <si>
    <t xml:space="preserve">COMPRA DE EQUIPO </t>
  </si>
  <si>
    <t>PAGO DE COMPRA DE ADQUISICION DE VEHICULOS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</si>
  <si>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</si>
  <si>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</si>
  <si>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</si>
  <si>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</si>
  <si>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</si>
  <si>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</si>
  <si>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</si>
  <si>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</si>
  <si>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</si>
  <si>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</si>
  <si>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</si>
  <si>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</si>
  <si>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</si>
  <si>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</si>
  <si>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</si>
  <si>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</si>
  <si>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</si>
  <si>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</si>
  <si>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</si>
  <si>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</si>
  <si>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</si>
  <si>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</si>
  <si>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</si>
  <si>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</si>
  <si>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</si>
  <si>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</si>
  <si>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</si>
  <si>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</si>
  <si>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</si>
  <si>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</si>
  <si>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</si>
  <si>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</si>
  <si>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</si>
  <si>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</si>
  <si>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</si>
  <si>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</si>
  <si>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</si>
  <si>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</si>
  <si>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</si>
  <si>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</si>
  <si>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</si>
  <si>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</si>
  <si>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</si>
  <si>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</si>
  <si>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</si>
  <si>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</si>
  <si>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</si>
  <si>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</si>
  <si>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</si>
  <si>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</si>
  <si>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EFCTIVO EN BANCOS</t>
  </si>
  <si>
    <t>PASIVO CORRIENTE</t>
  </si>
  <si>
    <t>INTERESES POR COBRAR</t>
  </si>
  <si>
    <t>CUENTAS POR COBRAR</t>
  </si>
  <si>
    <t>CUENTAS POR COBRAR A CLIENTES</t>
  </si>
  <si>
    <t>ACCIONISTAS</t>
  </si>
  <si>
    <t>IVA CREDITOS FISCALES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</si>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</sst>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0" fontId="3" fillId="2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2" fillId="3" borderId="0" xfId="0" applyNumberFormat="1" applyFont="1" applyFill="1" applyAlignment="1">
      <alignment horizontal="left"/>
    </xf>
    <xf numFmtId="164" fontId="0" fillId="3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3" borderId="0" xfId="0" applyFont="1" applyFill="1" applyBorder="1"/>
    <xf numFmtId="165" fontId="2" fillId="3" borderId="0" xfId="1" applyNumberFormat="1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7" borderId="0" xfId="0" applyFill="1"/>
    <xf numFmtId="0" fontId="0" fillId="0" borderId="0" xfId="0" applyFill="1"/>
    <xf numFmtId="0" fontId="0" fillId="6" borderId="4" xfId="0" applyFill="1" applyBorder="1"/>
    <xf numFmtId="0" fontId="0" fillId="0" borderId="4" xfId="0" applyBorder="1"/>
    <xf numFmtId="49" fontId="0" fillId="6" borderId="4" xfId="0" applyNumberFormat="1" applyFill="1" applyBorder="1"/>
    <xf numFmtId="49" fontId="0" fillId="0" borderId="4" xfId="0" applyNumberFormat="1" applyBorder="1"/>
    <xf numFmtId="44" fontId="0" fillId="6" borderId="4" xfId="1" applyNumberFormat="1" applyFont="1" applyFill="1" applyBorder="1"/>
    <xf numFmtId="44" fontId="0" fillId="0" borderId="4" xfId="1" applyNumberFormat="1" applyFont="1" applyBorder="1"/>
    <xf numFmtId="0" fontId="2" fillId="8" borderId="5" xfId="0" applyFont="1" applyFill="1" applyBorder="1"/>
    <xf numFmtId="49" fontId="0" fillId="6" borderId="6" xfId="0" applyNumberFormat="1" applyFill="1" applyBorder="1"/>
    <xf numFmtId="0" fontId="0" fillId="6" borderId="6" xfId="0" applyFill="1" applyBorder="1"/>
    <xf numFmtId="44" fontId="0" fillId="6" borderId="6" xfId="1" applyNumberFormat="1" applyFont="1" applyFill="1" applyBorder="1"/>
    <xf numFmtId="0" fontId="9" fillId="0" borderId="0" xfId="0" applyFont="1"/>
    <xf numFmtId="0" fontId="10" fillId="3" borderId="0" xfId="0" applyFont="1" applyFill="1" applyAlignment="1">
      <alignment vertical="center"/>
    </xf>
    <xf numFmtId="0" fontId="12" fillId="0" borderId="0" xfId="0" applyFont="1" applyFill="1"/>
    <xf numFmtId="0" fontId="13" fillId="3" borderId="0" xfId="0" applyFont="1" applyFill="1"/>
    <xf numFmtId="0" fontId="14" fillId="9" borderId="0" xfId="0" applyNumberFormat="1" applyFont="1" applyFill="1" applyAlignment="1">
      <alignment horizontal="left"/>
    </xf>
    <xf numFmtId="0" fontId="14" fillId="9" borderId="0" xfId="0" applyFont="1" applyFill="1"/>
    <xf numFmtId="0" fontId="14" fillId="9" borderId="0" xfId="0" applyFont="1" applyFill="1" applyAlignment="1">
      <alignment horizontal="center"/>
    </xf>
    <xf numFmtId="0" fontId="15" fillId="3" borderId="0" xfId="0" applyFont="1" applyFill="1" applyBorder="1" applyAlignment="1">
      <alignment vertical="center" wrapText="1"/>
    </xf>
    <xf numFmtId="0" fontId="3" fillId="4" borderId="0" xfId="0" applyNumberFormat="1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/>
    <xf numFmtId="0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8" fillId="4" borderId="0" xfId="0" applyNumberFormat="1" applyFont="1" applyFill="1" applyAlignment="1">
      <alignment horizontal="left"/>
    </xf>
    <xf numFmtId="0" fontId="16" fillId="4" borderId="0" xfId="0" applyNumberFormat="1" applyFont="1" applyFill="1" applyAlignment="1">
      <alignment horizontal="left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16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3ED169-5E7B-4E13-9B71-08C11ABB1A74}" name="Catalogo" displayName="Catalogo" ref="A1:D20" totalsRowShown="0" dataDxfId="15">
  <autoFilter ref="A1:D20" xr:uid="{103ED169-5E7B-4E13-9B71-08C11ABB1A74}"/>
  <tableColumns count="4">
    <tableColumn id="1" xr3:uid="{563E1087-584D-46E1-A3C2-B71FB4C20AA9}" name="CODIGO" dataDxfId="14"/>
    <tableColumn id="2" xr3:uid="{66345FB0-ED8B-4067-86A6-F4464A0437A3}" name="NOMBRE DE LA CUENTA" dataDxfId="13"/>
    <tableColumn id="3" xr3:uid="{40D248F6-7D42-4F67-B6F7-BD03DB87F795}" name="GRUPO" dataDxfId="12"/>
    <tableColumn id="4" xr3:uid="{8CA7F67C-CDA5-433E-BD78-9F9557B2CB7D}" name="NIVEL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495598-6E63-4742-99F6-2BC8E025149A}" name="Empleados" displayName="Empleados" ref="A5:D10" totalsRowShown="0" headerRowDxfId="10" headerRowBorderDxfId="9" tableBorderDxfId="8" totalsRowBorderDxfId="7">
  <autoFilter ref="A5:D10" xr:uid="{87495598-6E63-4742-99F6-2BC8E025149A}"/>
  <tableColumns count="4">
    <tableColumn id="1" xr3:uid="{4DB0E4B2-5E25-4668-90C0-90B814135FE2}" name="ID" dataDxfId="6"/>
    <tableColumn id="2" xr3:uid="{63B89102-1F5E-4A78-966B-3981619F301A}" name="NOMBRE" dataDxfId="5"/>
    <tableColumn id="3" xr3:uid="{CB3834BF-B3A8-4DBA-BC3B-28BF33BC627F}" name="CARGO QUE DESEMPEÑA" dataDxfId="4"/>
    <tableColumn id="4" xr3:uid="{20487F9C-62AF-4110-B651-BEA9C79CC466}" name="COSTO REAL" dataDxfId="3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66ABE5-6BA2-4D3C-948C-99F947EDBE1A}" name="Tabla45" displayName="Tabla45" ref="A2:D11" totalsRowShown="0" headerRowDxfId="2">
  <autoFilter ref="A2:D11" xr:uid="{0C66ABE5-6BA2-4D3C-948C-99F947EDBE1A}"/>
  <tableColumns count="4">
    <tableColumn id="1" xr3:uid="{DF46481C-E0CB-4DA7-94B2-9F8FAE5F8079}" name="Prestaciones"/>
    <tableColumn id="2" xr3:uid="{41B75B11-CBC0-44B2-A291-DFA0A10F55CC}" name="Semanal " dataDxfId="1">
      <calculatedColumnFormula>H2*7</calculatedColumnFormula>
    </tableColumn>
    <tableColumn id="3" xr3:uid="{8A9CD794-543A-43E6-884D-F7AD29A8AB49}" name="Diario " dataDxfId="0" dataCellStyle="Moneda">
      <calculatedColumnFormula>Tabla45[[#This Row],[Semanal ]]/52</calculatedColumnFormula>
    </tableColumn>
    <tableColumn id="4" xr3:uid="{3E9A5898-51F9-46B7-B1FE-063B9C68B9ED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I2" sqref="I2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23" t="s">
        <v>0</v>
      </c>
      <c r="B1" s="24" t="s">
        <v>1</v>
      </c>
      <c r="C1" s="16"/>
      <c r="D1" s="16"/>
      <c r="E1" s="16"/>
      <c r="F1" s="16"/>
      <c r="G1" s="16"/>
      <c r="H1" s="16"/>
      <c r="I1" s="16"/>
      <c r="J1" s="16"/>
      <c r="K1" s="79" t="s">
        <v>16</v>
      </c>
      <c r="L1" s="79"/>
      <c r="M1" s="16"/>
      <c r="N1" s="16"/>
      <c r="O1" s="16"/>
    </row>
    <row r="2" spans="1:15" ht="15" customHeight="1" x14ac:dyDescent="0.3">
      <c r="A2" s="25">
        <v>1</v>
      </c>
      <c r="B2" s="26" t="s">
        <v>2</v>
      </c>
      <c r="C2" s="60" t="s">
        <v>79</v>
      </c>
      <c r="D2" s="58"/>
      <c r="E2" s="58"/>
      <c r="F2" s="16"/>
      <c r="G2" s="16"/>
      <c r="H2" s="16"/>
      <c r="I2" s="16"/>
      <c r="J2" s="16"/>
      <c r="K2" s="17" t="s">
        <v>14</v>
      </c>
      <c r="L2" s="18" t="s">
        <v>17</v>
      </c>
      <c r="M2" s="16"/>
      <c r="N2" s="16"/>
      <c r="O2" s="16"/>
    </row>
    <row r="3" spans="1:15" ht="15" customHeight="1" x14ac:dyDescent="0.25">
      <c r="A3" s="25">
        <v>2</v>
      </c>
      <c r="B3" s="26" t="s">
        <v>3</v>
      </c>
      <c r="C3" s="80"/>
      <c r="D3" s="80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ht="15" customHeight="1" x14ac:dyDescent="0.25">
      <c r="A4" s="25">
        <v>3</v>
      </c>
      <c r="B4" s="26" t="s">
        <v>4</v>
      </c>
      <c r="C4" s="81" t="s">
        <v>77</v>
      </c>
      <c r="D4" s="81"/>
      <c r="E4" s="58" t="s">
        <v>84</v>
      </c>
      <c r="F4" s="16"/>
      <c r="G4" s="16"/>
      <c r="H4" s="16"/>
      <c r="I4" s="16"/>
      <c r="J4" s="16"/>
      <c r="K4" s="19" t="s">
        <v>15</v>
      </c>
      <c r="L4" s="20">
        <v>1500.99</v>
      </c>
      <c r="M4" s="16"/>
      <c r="N4" s="16"/>
      <c r="O4" s="16"/>
    </row>
    <row r="5" spans="1:15" ht="22.5" x14ac:dyDescent="0.25">
      <c r="A5" s="25">
        <v>4</v>
      </c>
      <c r="B5" s="64" t="s">
        <v>80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21">
        <v>5</v>
      </c>
      <c r="B6" s="22" t="s">
        <v>81</v>
      </c>
    </row>
    <row r="7" spans="1:15" x14ac:dyDescent="0.25">
      <c r="A7" s="21">
        <v>6</v>
      </c>
      <c r="B7" s="22" t="s">
        <v>82</v>
      </c>
    </row>
    <row r="8" spans="1:15" x14ac:dyDescent="0.25">
      <c r="A8" s="3"/>
    </row>
    <row r="9" spans="1:15" x14ac:dyDescent="0.25">
      <c r="F9" s="57"/>
    </row>
    <row r="22" spans="1:1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15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1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</sheetData>
  <sheetProtection sheet="1" formatCells="0" formatColumns="0" formatRows="0" insertColumns="0" insertRows="0" insertHyperlinks="0" deleteColumns="0" deleteRows="0" sort="0" autoFilter="0" pivotTables="0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43"/>
  <sheetViews>
    <sheetView showGridLines="0" tabSelected="1" workbookViewId="0">
      <selection activeCell="H4" sqref="H4"/>
    </sheetView>
  </sheetViews>
  <sheetFormatPr baseColWidth="10" defaultRowHeight="15" x14ac:dyDescent="0.25"/>
  <cols>
    <col min="1" max="1" width="12.85546875" style="4" customWidth="1"/>
    <col min="2" max="2" width="47" customWidth="1"/>
    <col min="3" max="3" width="12.85546875" style="3" customWidth="1"/>
    <col min="4" max="4" width="12.85546875" customWidth="1"/>
    <col min="7" max="7" width="11.85546875" bestFit="1" customWidth="1"/>
  </cols>
  <sheetData>
    <row r="1" spans="1:4" ht="15.75" x14ac:dyDescent="0.25">
      <c r="A1" s="61" t="s">
        <v>83</v>
      </c>
      <c r="B1" s="62" t="s">
        <v>1</v>
      </c>
      <c r="C1" s="63" t="s">
        <v>0</v>
      </c>
      <c r="D1" s="62" t="s">
        <v>35</v>
      </c>
    </row>
    <row r="2" spans="1:4" ht="15.75" x14ac:dyDescent="0.25">
      <c r="A2" s="75">
        <v>1</v>
      </c>
      <c r="B2" s="73" t="s">
        <v>85</v>
      </c>
      <c r="C2" s="74">
        <v>1</v>
      </c>
      <c r="D2" s="73">
        <v>1</v>
      </c>
    </row>
    <row r="3" spans="1:4" ht="15.75" x14ac:dyDescent="0.25">
      <c r="A3" s="75">
        <v>11</v>
      </c>
      <c r="B3" s="73" t="s">
        <v>86</v>
      </c>
      <c r="C3" s="74">
        <v>1</v>
      </c>
      <c r="D3" s="73">
        <v>2</v>
      </c>
    </row>
    <row r="4" spans="1:4" ht="15.75" x14ac:dyDescent="0.25">
      <c r="A4" s="75">
        <v>1101</v>
      </c>
      <c r="B4" s="73" t="s">
        <v>88</v>
      </c>
      <c r="C4" s="74">
        <v>1</v>
      </c>
      <c r="D4" s="73">
        <v>3</v>
      </c>
    </row>
    <row r="5" spans="1:4" ht="15.75" x14ac:dyDescent="0.25">
      <c r="A5" s="76">
        <v>110101</v>
      </c>
      <c r="B5" s="77" t="s">
        <v>7</v>
      </c>
      <c r="C5" s="78">
        <v>1</v>
      </c>
      <c r="D5" s="77">
        <v>4</v>
      </c>
    </row>
    <row r="6" spans="1:4" ht="15.75" x14ac:dyDescent="0.25">
      <c r="A6" s="76">
        <v>110102</v>
      </c>
      <c r="B6" s="77" t="s">
        <v>89</v>
      </c>
      <c r="C6" s="78">
        <v>1</v>
      </c>
      <c r="D6" s="77">
        <v>4</v>
      </c>
    </row>
    <row r="7" spans="1:4" ht="15.75" x14ac:dyDescent="0.25">
      <c r="A7" s="75">
        <v>1102</v>
      </c>
      <c r="B7" s="73" t="s">
        <v>92</v>
      </c>
      <c r="C7" s="74">
        <v>1</v>
      </c>
      <c r="D7" s="73">
        <v>3</v>
      </c>
    </row>
    <row r="8" spans="1:4" ht="15.75" x14ac:dyDescent="0.25">
      <c r="A8" s="75">
        <v>110201</v>
      </c>
      <c r="B8" s="73" t="s">
        <v>93</v>
      </c>
      <c r="C8" s="74">
        <v>1</v>
      </c>
      <c r="D8" s="73">
        <v>4</v>
      </c>
    </row>
    <row r="9" spans="1:4" ht="15.75" x14ac:dyDescent="0.25">
      <c r="A9" s="75">
        <v>110202</v>
      </c>
      <c r="B9" s="73" t="s">
        <v>91</v>
      </c>
      <c r="C9" s="74">
        <v>1</v>
      </c>
      <c r="D9" s="73">
        <v>4</v>
      </c>
    </row>
    <row r="10" spans="1:4" ht="15.75" x14ac:dyDescent="0.25">
      <c r="A10" s="75">
        <v>1103</v>
      </c>
      <c r="B10" s="73" t="s">
        <v>94</v>
      </c>
      <c r="C10" s="74">
        <v>1</v>
      </c>
      <c r="D10" s="73">
        <v>3</v>
      </c>
    </row>
    <row r="11" spans="1:4" ht="15.75" x14ac:dyDescent="0.25">
      <c r="A11" s="75">
        <v>1104</v>
      </c>
      <c r="B11" s="73" t="s">
        <v>95</v>
      </c>
      <c r="C11" s="74">
        <v>1</v>
      </c>
      <c r="D11" s="73">
        <v>3</v>
      </c>
    </row>
    <row r="12" spans="1:4" ht="15.75" x14ac:dyDescent="0.25">
      <c r="A12" s="75">
        <v>1105</v>
      </c>
      <c r="B12" s="73" t="s">
        <v>96</v>
      </c>
      <c r="C12" s="74">
        <v>1</v>
      </c>
      <c r="D12" s="73">
        <v>3</v>
      </c>
    </row>
    <row r="13" spans="1:4" ht="15.75" x14ac:dyDescent="0.25">
      <c r="A13" s="75">
        <v>1106</v>
      </c>
      <c r="B13" s="73" t="s">
        <v>97</v>
      </c>
      <c r="C13" s="74">
        <v>1</v>
      </c>
      <c r="D13" s="73">
        <v>3</v>
      </c>
    </row>
    <row r="14" spans="1:4" ht="15.75" x14ac:dyDescent="0.25">
      <c r="A14" s="75">
        <v>110601</v>
      </c>
      <c r="B14" s="73" t="s">
        <v>98</v>
      </c>
      <c r="C14" s="74">
        <v>1</v>
      </c>
      <c r="D14" s="73">
        <v>4</v>
      </c>
    </row>
    <row r="15" spans="1:4" ht="15.75" x14ac:dyDescent="0.25">
      <c r="A15" s="75">
        <v>110602</v>
      </c>
      <c r="B15" s="73" t="s">
        <v>99</v>
      </c>
      <c r="C15" s="74">
        <v>1</v>
      </c>
      <c r="D15" s="73">
        <v>4</v>
      </c>
    </row>
    <row r="16" spans="1:4" ht="15.75" x14ac:dyDescent="0.25">
      <c r="A16" s="75">
        <v>110603</v>
      </c>
      <c r="B16" s="73" t="s">
        <v>100</v>
      </c>
      <c r="C16" s="74">
        <v>1</v>
      </c>
      <c r="D16" s="73">
        <v>4</v>
      </c>
    </row>
    <row r="17" spans="1:4" ht="15.75" x14ac:dyDescent="0.25">
      <c r="A17" s="75">
        <v>110604</v>
      </c>
      <c r="B17" s="73" t="s">
        <v>101</v>
      </c>
      <c r="C17" s="74">
        <v>1</v>
      </c>
      <c r="D17" s="73">
        <v>4</v>
      </c>
    </row>
    <row r="18" spans="1:4" ht="15.75" x14ac:dyDescent="0.25">
      <c r="A18" s="75">
        <v>110605</v>
      </c>
      <c r="B18" s="73" t="s">
        <v>102</v>
      </c>
      <c r="C18" s="74">
        <v>1</v>
      </c>
      <c r="D18" s="73">
        <v>4</v>
      </c>
    </row>
    <row r="19" spans="1:4" ht="15.75" x14ac:dyDescent="0.25">
      <c r="A19" s="75">
        <v>2</v>
      </c>
      <c r="B19" s="73" t="s">
        <v>87</v>
      </c>
      <c r="C19" s="74">
        <v>2</v>
      </c>
      <c r="D19" s="73">
        <v>1</v>
      </c>
    </row>
    <row r="20" spans="1:4" ht="15.75" x14ac:dyDescent="0.25">
      <c r="A20" s="75">
        <v>21</v>
      </c>
      <c r="B20" s="73" t="s">
        <v>90</v>
      </c>
      <c r="C20" s="74">
        <v>2</v>
      </c>
      <c r="D20" s="73">
        <v>2</v>
      </c>
    </row>
    <row r="21" spans="1:4" x14ac:dyDescent="0.25">
      <c r="A21" s="68"/>
      <c r="B21" s="31"/>
      <c r="C21" s="69"/>
    </row>
    <row r="22" spans="1:4" x14ac:dyDescent="0.25">
      <c r="A22" s="68"/>
      <c r="B22" s="31"/>
      <c r="C22" s="69"/>
    </row>
    <row r="23" spans="1:4" x14ac:dyDescent="0.25">
      <c r="A23" s="65"/>
      <c r="B23" s="66"/>
      <c r="C23" s="67"/>
    </row>
    <row r="24" spans="1:4" x14ac:dyDescent="0.25">
      <c r="A24" s="68"/>
      <c r="B24" s="31"/>
      <c r="C24" s="69"/>
    </row>
    <row r="25" spans="1:4" x14ac:dyDescent="0.25">
      <c r="A25" s="65"/>
      <c r="B25" s="66"/>
      <c r="C25" s="67"/>
    </row>
    <row r="26" spans="1:4" x14ac:dyDescent="0.25">
      <c r="A26" s="68"/>
      <c r="B26" s="31"/>
      <c r="C26" s="69"/>
    </row>
    <row r="27" spans="1:4" x14ac:dyDescent="0.25">
      <c r="A27" s="65"/>
      <c r="B27" s="66"/>
      <c r="C27" s="67"/>
    </row>
    <row r="28" spans="1:4" x14ac:dyDescent="0.25">
      <c r="A28" s="68"/>
      <c r="B28" s="31"/>
      <c r="C28" s="69"/>
    </row>
    <row r="29" spans="1:4" x14ac:dyDescent="0.25">
      <c r="A29" s="68"/>
      <c r="B29" s="31"/>
      <c r="C29" s="69"/>
    </row>
    <row r="30" spans="1:4" x14ac:dyDescent="0.25">
      <c r="A30" s="68"/>
      <c r="B30" s="31"/>
      <c r="C30" s="69"/>
    </row>
    <row r="31" spans="1:4" x14ac:dyDescent="0.25">
      <c r="A31" s="68"/>
      <c r="B31" s="31"/>
      <c r="C31" s="69"/>
    </row>
    <row r="32" spans="1:4" x14ac:dyDescent="0.25">
      <c r="A32" s="68"/>
      <c r="B32" s="31"/>
      <c r="C32" s="69"/>
    </row>
    <row r="33" spans="1:3" x14ac:dyDescent="0.25">
      <c r="A33" s="68"/>
      <c r="B33" s="31"/>
      <c r="C33" s="69"/>
    </row>
    <row r="34" spans="1:3" x14ac:dyDescent="0.25">
      <c r="A34" s="68"/>
      <c r="B34" s="31"/>
      <c r="C34" s="69"/>
    </row>
    <row r="35" spans="1:3" x14ac:dyDescent="0.25">
      <c r="A35" s="68"/>
      <c r="B35" s="31"/>
      <c r="C35" s="69"/>
    </row>
    <row r="36" spans="1:3" x14ac:dyDescent="0.25">
      <c r="A36" s="68"/>
      <c r="B36" s="31"/>
      <c r="C36" s="69"/>
    </row>
    <row r="37" spans="1:3" x14ac:dyDescent="0.25">
      <c r="A37" s="68"/>
      <c r="B37" s="31"/>
      <c r="C37" s="69"/>
    </row>
    <row r="38" spans="1:3" x14ac:dyDescent="0.25">
      <c r="A38" s="68"/>
      <c r="B38" s="31"/>
      <c r="C38" s="69"/>
    </row>
    <row r="39" spans="1:3" x14ac:dyDescent="0.25">
      <c r="A39" s="68"/>
      <c r="B39" s="31"/>
      <c r="C39" s="69"/>
    </row>
    <row r="40" spans="1:3" x14ac:dyDescent="0.25">
      <c r="A40" s="65"/>
      <c r="B40" s="66"/>
      <c r="C40" s="67"/>
    </row>
    <row r="41" spans="1:3" x14ac:dyDescent="0.25">
      <c r="A41" s="68"/>
      <c r="B41" s="31"/>
      <c r="C41" s="69"/>
    </row>
    <row r="42" spans="1:3" x14ac:dyDescent="0.25">
      <c r="A42" s="6"/>
    </row>
    <row r="43" spans="1:3" x14ac:dyDescent="0.25">
      <c r="A43" s="6"/>
    </row>
    <row r="44" spans="1:3" x14ac:dyDescent="0.25">
      <c r="A44" s="6"/>
    </row>
    <row r="45" spans="1:3" x14ac:dyDescent="0.25">
      <c r="A45" s="6"/>
    </row>
    <row r="46" spans="1:3" x14ac:dyDescent="0.25">
      <c r="A46" s="6"/>
    </row>
    <row r="47" spans="1:3" x14ac:dyDescent="0.25">
      <c r="A47" s="6"/>
    </row>
    <row r="48" spans="1:3" x14ac:dyDescent="0.25">
      <c r="A48" s="68"/>
      <c r="B48" s="31"/>
      <c r="C48" s="69"/>
    </row>
    <row r="49" spans="1:3" x14ac:dyDescent="0.25">
      <c r="A49" s="68"/>
      <c r="B49" s="31"/>
      <c r="C49" s="69"/>
    </row>
    <row r="50" spans="1:3" x14ac:dyDescent="0.25">
      <c r="A50" s="65"/>
      <c r="B50" s="66"/>
      <c r="C50" s="67"/>
    </row>
    <row r="51" spans="1:3" x14ac:dyDescent="0.25">
      <c r="A51" s="68"/>
      <c r="B51" s="31"/>
      <c r="C51" s="69"/>
    </row>
    <row r="52" spans="1:3" x14ac:dyDescent="0.25">
      <c r="A52" s="68"/>
      <c r="B52" s="31"/>
      <c r="C52" s="69"/>
    </row>
    <row r="53" spans="1:3" x14ac:dyDescent="0.25">
      <c r="A53" s="71"/>
      <c r="B53" s="70"/>
      <c r="C53" s="69"/>
    </row>
    <row r="54" spans="1:3" x14ac:dyDescent="0.25">
      <c r="A54" s="65"/>
      <c r="B54" s="66"/>
      <c r="C54" s="67"/>
    </row>
    <row r="55" spans="1:3" x14ac:dyDescent="0.25">
      <c r="A55" s="68"/>
      <c r="B55" s="31"/>
      <c r="C55" s="69"/>
    </row>
    <row r="56" spans="1:3" x14ac:dyDescent="0.25">
      <c r="A56" s="68"/>
      <c r="B56" s="31"/>
      <c r="C56" s="69"/>
    </row>
    <row r="57" spans="1:3" x14ac:dyDescent="0.25">
      <c r="A57" s="65"/>
      <c r="B57" s="66"/>
      <c r="C57" s="67"/>
    </row>
    <row r="58" spans="1:3" x14ac:dyDescent="0.25">
      <c r="A58" s="68"/>
      <c r="B58" s="31"/>
      <c r="C58" s="69"/>
    </row>
    <row r="59" spans="1:3" x14ac:dyDescent="0.25">
      <c r="A59" s="65"/>
      <c r="B59" s="66"/>
      <c r="C59" s="67"/>
    </row>
    <row r="60" spans="1:3" x14ac:dyDescent="0.25">
      <c r="A60" s="68"/>
      <c r="B60" s="31"/>
      <c r="C60" s="69"/>
    </row>
    <row r="61" spans="1:3" x14ac:dyDescent="0.25">
      <c r="A61" s="68"/>
      <c r="B61" s="31"/>
      <c r="C61" s="69"/>
    </row>
    <row r="62" spans="1:3" x14ac:dyDescent="0.25">
      <c r="A62" s="68"/>
      <c r="B62" s="31"/>
      <c r="C62" s="69"/>
    </row>
    <row r="63" spans="1:3" x14ac:dyDescent="0.25">
      <c r="A63" s="65"/>
      <c r="B63" s="66"/>
      <c r="C63" s="67"/>
    </row>
    <row r="64" spans="1:3" x14ac:dyDescent="0.25">
      <c r="A64" s="68"/>
      <c r="B64" s="31"/>
      <c r="C64" s="69"/>
    </row>
    <row r="65" spans="1:3" x14ac:dyDescent="0.25">
      <c r="A65" s="68"/>
      <c r="B65" s="31"/>
      <c r="C65" s="69"/>
    </row>
    <row r="66" spans="1:3" x14ac:dyDescent="0.25">
      <c r="A66" s="68"/>
      <c r="B66" s="31"/>
      <c r="C66" s="69"/>
    </row>
    <row r="67" spans="1:3" x14ac:dyDescent="0.25">
      <c r="A67" s="65"/>
      <c r="B67" s="66"/>
      <c r="C67" s="67"/>
    </row>
    <row r="68" spans="1:3" x14ac:dyDescent="0.25">
      <c r="A68" s="68"/>
      <c r="B68" s="31"/>
      <c r="C68" s="69"/>
    </row>
    <row r="69" spans="1:3" x14ac:dyDescent="0.25">
      <c r="A69" s="68"/>
      <c r="B69" s="31"/>
      <c r="C69" s="69"/>
    </row>
    <row r="70" spans="1:3" x14ac:dyDescent="0.25">
      <c r="A70" s="68"/>
      <c r="B70" s="31"/>
      <c r="C70" s="69"/>
    </row>
    <row r="71" spans="1:3" x14ac:dyDescent="0.25">
      <c r="A71" s="65"/>
      <c r="B71" s="66"/>
      <c r="C71" s="67"/>
    </row>
    <row r="72" spans="1:3" x14ac:dyDescent="0.25">
      <c r="A72" s="68"/>
      <c r="B72" s="31"/>
      <c r="C72" s="69"/>
    </row>
    <row r="73" spans="1:3" x14ac:dyDescent="0.25">
      <c r="A73" s="68"/>
      <c r="B73" s="31"/>
      <c r="C73" s="69"/>
    </row>
    <row r="74" spans="1:3" x14ac:dyDescent="0.25">
      <c r="A74" s="68"/>
      <c r="B74" s="31"/>
      <c r="C74" s="69"/>
    </row>
    <row r="75" spans="1:3" x14ac:dyDescent="0.25">
      <c r="A75" s="68"/>
      <c r="B75" s="31"/>
      <c r="C75" s="69"/>
    </row>
    <row r="76" spans="1:3" x14ac:dyDescent="0.25">
      <c r="A76" s="68"/>
      <c r="B76" s="31"/>
      <c r="C76" s="69"/>
    </row>
    <row r="77" spans="1:3" x14ac:dyDescent="0.25">
      <c r="A77" s="65"/>
      <c r="B77" s="66"/>
      <c r="C77" s="67"/>
    </row>
    <row r="78" spans="1:3" x14ac:dyDescent="0.25">
      <c r="A78" s="68"/>
      <c r="B78" s="31"/>
      <c r="C78" s="69"/>
    </row>
    <row r="79" spans="1:3" x14ac:dyDescent="0.25">
      <c r="A79" s="68"/>
      <c r="B79" s="31"/>
      <c r="C79" s="69"/>
    </row>
    <row r="80" spans="1:3" x14ac:dyDescent="0.25">
      <c r="A80" s="65"/>
      <c r="B80" s="66"/>
      <c r="C80" s="67"/>
    </row>
    <row r="81" spans="1:3" x14ac:dyDescent="0.25">
      <c r="A81" s="68"/>
      <c r="B81" s="31"/>
      <c r="C81" s="69"/>
    </row>
    <row r="82" spans="1:3" x14ac:dyDescent="0.25">
      <c r="A82" s="68"/>
      <c r="B82" s="31"/>
      <c r="C82" s="69"/>
    </row>
    <row r="83" spans="1:3" x14ac:dyDescent="0.25">
      <c r="A83" s="71"/>
      <c r="B83" s="70"/>
      <c r="C83" s="72"/>
    </row>
    <row r="84" spans="1:3" x14ac:dyDescent="0.25">
      <c r="A84" s="71"/>
      <c r="B84" s="70"/>
      <c r="C84" s="72"/>
    </row>
    <row r="85" spans="1:3" x14ac:dyDescent="0.25">
      <c r="A85" s="65"/>
      <c r="B85" s="66"/>
      <c r="C85" s="67"/>
    </row>
    <row r="86" spans="1:3" x14ac:dyDescent="0.25">
      <c r="A86" s="68"/>
      <c r="B86" s="31"/>
      <c r="C86" s="69"/>
    </row>
    <row r="87" spans="1:3" x14ac:dyDescent="0.25">
      <c r="A87" s="68"/>
      <c r="B87" s="31"/>
      <c r="C87" s="69"/>
    </row>
    <row r="88" spans="1:3" x14ac:dyDescent="0.25">
      <c r="A88" s="68"/>
      <c r="B88" s="31"/>
      <c r="C88" s="69"/>
    </row>
    <row r="89" spans="1:3" x14ac:dyDescent="0.25">
      <c r="A89" s="68"/>
      <c r="B89" s="31"/>
      <c r="C89" s="69"/>
    </row>
    <row r="90" spans="1:3" x14ac:dyDescent="0.25">
      <c r="A90" s="65"/>
      <c r="B90" s="66"/>
      <c r="C90" s="67"/>
    </row>
    <row r="91" spans="1:3" x14ac:dyDescent="0.25">
      <c r="A91" s="68"/>
      <c r="B91" s="31"/>
      <c r="C91" s="69"/>
    </row>
    <row r="92" spans="1:3" x14ac:dyDescent="0.25">
      <c r="A92" s="68"/>
      <c r="B92" s="31"/>
      <c r="C92" s="69"/>
    </row>
    <row r="93" spans="1:3" x14ac:dyDescent="0.25">
      <c r="A93" s="65"/>
      <c r="B93" s="66"/>
      <c r="C93" s="67"/>
    </row>
    <row r="94" spans="1:3" x14ac:dyDescent="0.25">
      <c r="A94" s="68"/>
      <c r="B94" s="31"/>
      <c r="C94" s="69"/>
    </row>
    <row r="95" spans="1:3" x14ac:dyDescent="0.25">
      <c r="A95" s="6"/>
    </row>
    <row r="96" spans="1:3" x14ac:dyDescent="0.25">
      <c r="A96" s="6"/>
    </row>
    <row r="97" spans="1:3" x14ac:dyDescent="0.25">
      <c r="A97" s="6"/>
    </row>
    <row r="98" spans="1:3" x14ac:dyDescent="0.25">
      <c r="A98" s="6"/>
    </row>
    <row r="99" spans="1:3" x14ac:dyDescent="0.25">
      <c r="A99" s="6"/>
    </row>
    <row r="100" spans="1:3" x14ac:dyDescent="0.25">
      <c r="A100" s="6"/>
    </row>
    <row r="101" spans="1:3" x14ac:dyDescent="0.25">
      <c r="A101" s="6"/>
    </row>
    <row r="102" spans="1:3" x14ac:dyDescent="0.25">
      <c r="A102" s="6"/>
    </row>
    <row r="103" spans="1:3" x14ac:dyDescent="0.25">
      <c r="A103" s="6"/>
    </row>
    <row r="104" spans="1:3" x14ac:dyDescent="0.25">
      <c r="A104" s="5"/>
      <c r="B104" s="2"/>
      <c r="C104" s="1"/>
    </row>
    <row r="105" spans="1:3" x14ac:dyDescent="0.25">
      <c r="A105" s="8"/>
      <c r="B105" s="9"/>
      <c r="C105" s="10"/>
    </row>
    <row r="106" spans="1:3" x14ac:dyDescent="0.25">
      <c r="A106" s="6"/>
    </row>
    <row r="107" spans="1:3" x14ac:dyDescent="0.25">
      <c r="A107" s="5"/>
      <c r="B107" s="2"/>
      <c r="C107" s="1"/>
    </row>
    <row r="108" spans="1:3" x14ac:dyDescent="0.25">
      <c r="A108" s="5"/>
      <c r="B108" s="2"/>
    </row>
    <row r="109" spans="1:3" x14ac:dyDescent="0.25">
      <c r="A109" s="8"/>
      <c r="B109" s="9"/>
      <c r="C109" s="10"/>
    </row>
    <row r="110" spans="1:3" x14ac:dyDescent="0.25">
      <c r="A110" s="6"/>
    </row>
    <row r="111" spans="1:3" x14ac:dyDescent="0.25">
      <c r="A111" s="6"/>
    </row>
    <row r="112" spans="1:3" x14ac:dyDescent="0.25">
      <c r="A112" s="6"/>
    </row>
    <row r="113" spans="1:3" x14ac:dyDescent="0.25">
      <c r="A113" s="6"/>
    </row>
    <row r="114" spans="1:3" x14ac:dyDescent="0.25">
      <c r="A114" s="6"/>
    </row>
    <row r="115" spans="1:3" x14ac:dyDescent="0.25">
      <c r="A115" s="6"/>
    </row>
    <row r="116" spans="1:3" x14ac:dyDescent="0.25">
      <c r="A116" s="8"/>
      <c r="B116" s="9"/>
      <c r="C116" s="10"/>
    </row>
    <row r="117" spans="1:3" x14ac:dyDescent="0.25">
      <c r="A117" s="6"/>
    </row>
    <row r="118" spans="1:3" x14ac:dyDescent="0.25">
      <c r="A118" s="6"/>
    </row>
    <row r="119" spans="1:3" x14ac:dyDescent="0.25">
      <c r="A119" s="6"/>
    </row>
    <row r="120" spans="1:3" x14ac:dyDescent="0.25">
      <c r="A120" s="6"/>
    </row>
    <row r="121" spans="1:3" x14ac:dyDescent="0.25">
      <c r="A121" s="6"/>
    </row>
    <row r="122" spans="1:3" x14ac:dyDescent="0.25">
      <c r="A122" s="8"/>
      <c r="B122" s="9"/>
      <c r="C122" s="10"/>
    </row>
    <row r="123" spans="1:3" x14ac:dyDescent="0.25">
      <c r="A123" s="6"/>
    </row>
    <row r="124" spans="1:3" x14ac:dyDescent="0.25">
      <c r="A124" s="6"/>
    </row>
    <row r="125" spans="1:3" x14ac:dyDescent="0.25">
      <c r="A125" s="5"/>
      <c r="B125" s="2"/>
      <c r="C125" s="1"/>
    </row>
    <row r="126" spans="1:3" x14ac:dyDescent="0.25">
      <c r="A126" s="5"/>
      <c r="B126" s="2"/>
    </row>
    <row r="127" spans="1:3" x14ac:dyDescent="0.25">
      <c r="A127" s="8"/>
      <c r="B127" s="9"/>
      <c r="C127" s="10"/>
    </row>
    <row r="128" spans="1:3" x14ac:dyDescent="0.25">
      <c r="A128" s="6"/>
    </row>
    <row r="129" spans="1:4" x14ac:dyDescent="0.25">
      <c r="A129" s="6"/>
    </row>
    <row r="130" spans="1:4" x14ac:dyDescent="0.25">
      <c r="A130" s="6"/>
      <c r="D130">
        <v>4</v>
      </c>
    </row>
    <row r="131" spans="1:4" x14ac:dyDescent="0.25">
      <c r="A131" s="5"/>
      <c r="B131" s="2"/>
      <c r="C131" s="1"/>
    </row>
    <row r="132" spans="1:4" x14ac:dyDescent="0.25">
      <c r="A132" s="5"/>
      <c r="B132" s="2"/>
    </row>
    <row r="133" spans="1:4" x14ac:dyDescent="0.25">
      <c r="A133" s="8"/>
      <c r="B133" s="9"/>
      <c r="C133" s="10"/>
    </row>
    <row r="134" spans="1:4" x14ac:dyDescent="0.25">
      <c r="A134" s="6"/>
    </row>
    <row r="135" spans="1:4" x14ac:dyDescent="0.25">
      <c r="A135" s="6"/>
    </row>
    <row r="136" spans="1:4" x14ac:dyDescent="0.25">
      <c r="A136" s="6"/>
    </row>
    <row r="137" spans="1:4" x14ac:dyDescent="0.25">
      <c r="A137" s="6"/>
    </row>
    <row r="138" spans="1:4" x14ac:dyDescent="0.25">
      <c r="A138" s="8"/>
      <c r="B138" s="9"/>
      <c r="C138" s="10"/>
    </row>
    <row r="139" spans="1:4" x14ac:dyDescent="0.25">
      <c r="A139" s="6"/>
    </row>
    <row r="140" spans="1:4" x14ac:dyDescent="0.25">
      <c r="A140" s="5"/>
      <c r="B140" s="2"/>
      <c r="C140" s="1"/>
    </row>
    <row r="141" spans="1:4" x14ac:dyDescent="0.25">
      <c r="A141" s="5"/>
      <c r="B141" s="2"/>
    </row>
    <row r="142" spans="1:4" x14ac:dyDescent="0.25">
      <c r="A142" s="8"/>
      <c r="B142" s="9"/>
      <c r="C142" s="10"/>
      <c r="D142">
        <v>5</v>
      </c>
    </row>
    <row r="143" spans="1:4" x14ac:dyDescent="0.25">
      <c r="A143" s="6"/>
      <c r="D143">
        <v>5</v>
      </c>
    </row>
  </sheetData>
  <sheetProtection algorithmName="SHA-512" hashValue="/BNskztShgOElPOMCXFfB58lScf2fY2yIwVj6lDCEzBO+wId5ttnkfWNqz6snAqRp5CCzfPJvfNq5b0RYWSv3Q==" saltValue="iSs0yq6+8zeM7illHZ0xWQ==" spinCount="100000" sheet="1" objects="1" scenarios="1"/>
  <sortState xmlns:xlrd2="http://schemas.microsoft.com/office/spreadsheetml/2017/richdata2" ref="A2:D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14"/>
  <sheetViews>
    <sheetView showGridLines="0" workbookViewId="0">
      <selection activeCell="C17" sqref="C17"/>
    </sheetView>
  </sheetViews>
  <sheetFormatPr baseColWidth="10" defaultRowHeight="15" x14ac:dyDescent="0.25"/>
  <cols>
    <col min="1" max="1" width="10.7109375" style="3" customWidth="1"/>
    <col min="2" max="2" width="10.42578125" bestFit="1" customWidth="1"/>
    <col min="3" max="3" width="45.140625" customWidth="1"/>
    <col min="4" max="4" width="11.42578125" style="4"/>
    <col min="5" max="5" width="28.85546875" bestFit="1" customWidth="1"/>
    <col min="6" max="6" width="13.5703125" style="7" customWidth="1"/>
    <col min="7" max="7" width="12" style="7" customWidth="1"/>
  </cols>
  <sheetData>
    <row r="1" spans="1:7" x14ac:dyDescent="0.25">
      <c r="A1" s="27" t="s">
        <v>13</v>
      </c>
      <c r="B1" s="28" t="s">
        <v>11</v>
      </c>
      <c r="C1" s="28" t="s">
        <v>12</v>
      </c>
      <c r="D1" s="28" t="s">
        <v>5</v>
      </c>
      <c r="E1" s="29" t="s">
        <v>1</v>
      </c>
      <c r="F1" s="30" t="s">
        <v>9</v>
      </c>
      <c r="G1" s="30" t="s">
        <v>10</v>
      </c>
    </row>
    <row r="2" spans="1:7" x14ac:dyDescent="0.25">
      <c r="A2" s="3">
        <v>1</v>
      </c>
      <c r="B2" s="11">
        <v>42607</v>
      </c>
      <c r="C2" t="s">
        <v>28</v>
      </c>
      <c r="D2" s="4">
        <v>1020101</v>
      </c>
      <c r="E2" t="s">
        <v>18</v>
      </c>
      <c r="F2" s="7">
        <v>100000</v>
      </c>
    </row>
    <row r="3" spans="1:7" x14ac:dyDescent="0.25">
      <c r="C3" t="s">
        <v>29</v>
      </c>
      <c r="D3" s="4">
        <v>3010101</v>
      </c>
      <c r="E3" t="s">
        <v>20</v>
      </c>
      <c r="G3" s="7">
        <v>50000</v>
      </c>
    </row>
    <row r="4" spans="1:7" x14ac:dyDescent="0.25">
      <c r="C4" t="s">
        <v>30</v>
      </c>
      <c r="D4" s="4">
        <v>3010102</v>
      </c>
      <c r="E4" t="s">
        <v>21</v>
      </c>
      <c r="G4" s="7">
        <v>25000</v>
      </c>
    </row>
    <row r="5" spans="1:7" x14ac:dyDescent="0.25">
      <c r="A5" s="12"/>
      <c r="B5" s="13"/>
      <c r="C5" s="13" t="s">
        <v>30</v>
      </c>
      <c r="D5" s="14">
        <v>3010103</v>
      </c>
      <c r="E5" s="13" t="s">
        <v>22</v>
      </c>
      <c r="F5" s="15"/>
      <c r="G5" s="15">
        <v>25000</v>
      </c>
    </row>
    <row r="6" spans="1:7" x14ac:dyDescent="0.25">
      <c r="A6" s="3">
        <v>2</v>
      </c>
      <c r="B6" s="11">
        <v>42607</v>
      </c>
      <c r="C6" t="s">
        <v>26</v>
      </c>
      <c r="D6" s="4">
        <v>1170101</v>
      </c>
      <c r="E6" t="s">
        <v>25</v>
      </c>
      <c r="F6" s="7">
        <v>156</v>
      </c>
    </row>
    <row r="7" spans="1:7" x14ac:dyDescent="0.25">
      <c r="C7" t="s">
        <v>27</v>
      </c>
      <c r="D7" s="4">
        <v>1160101</v>
      </c>
      <c r="E7" t="s">
        <v>23</v>
      </c>
      <c r="F7" s="7">
        <v>1200</v>
      </c>
    </row>
    <row r="8" spans="1:7" x14ac:dyDescent="0.25">
      <c r="A8" s="12"/>
      <c r="B8" s="13"/>
      <c r="C8" s="13" t="s">
        <v>31</v>
      </c>
      <c r="D8" s="14">
        <v>1020101</v>
      </c>
      <c r="E8" s="13" t="s">
        <v>18</v>
      </c>
      <c r="F8" s="15"/>
      <c r="G8" s="15">
        <v>1356</v>
      </c>
    </row>
    <row r="9" spans="1:7" x14ac:dyDescent="0.25">
      <c r="A9" s="3">
        <v>3</v>
      </c>
      <c r="B9" s="11">
        <v>42607</v>
      </c>
      <c r="C9" t="s">
        <v>32</v>
      </c>
      <c r="D9" s="4">
        <v>11102</v>
      </c>
      <c r="E9" t="s">
        <v>6</v>
      </c>
      <c r="F9" s="7">
        <v>2825</v>
      </c>
    </row>
    <row r="10" spans="1:7" x14ac:dyDescent="0.25">
      <c r="C10" t="s">
        <v>33</v>
      </c>
      <c r="D10" s="4">
        <v>20201</v>
      </c>
      <c r="E10" t="s">
        <v>24</v>
      </c>
      <c r="G10" s="7">
        <v>325</v>
      </c>
    </row>
    <row r="11" spans="1:7" x14ac:dyDescent="0.25">
      <c r="A11" s="12"/>
      <c r="B11" s="13"/>
      <c r="C11" s="13" t="s">
        <v>34</v>
      </c>
      <c r="D11" s="14">
        <v>40102</v>
      </c>
      <c r="E11" s="13" t="s">
        <v>19</v>
      </c>
      <c r="F11" s="15"/>
      <c r="G11" s="15">
        <v>2500</v>
      </c>
    </row>
    <row r="12" spans="1:7" x14ac:dyDescent="0.25">
      <c r="A12" s="3">
        <v>4</v>
      </c>
      <c r="B12" s="11">
        <v>44487</v>
      </c>
      <c r="C12" t="s">
        <v>26</v>
      </c>
      <c r="D12" s="4">
        <v>1170101</v>
      </c>
      <c r="E12" t="s">
        <v>36</v>
      </c>
      <c r="F12" s="7">
        <v>390</v>
      </c>
    </row>
    <row r="13" spans="1:7" x14ac:dyDescent="0.25">
      <c r="C13" t="s">
        <v>37</v>
      </c>
      <c r="D13" s="4">
        <v>12604</v>
      </c>
      <c r="E13" t="s">
        <v>8</v>
      </c>
      <c r="F13" s="7">
        <v>3000</v>
      </c>
    </row>
    <row r="14" spans="1:7" x14ac:dyDescent="0.25">
      <c r="A14" s="12"/>
      <c r="B14" s="13"/>
      <c r="C14" s="13" t="s">
        <v>38</v>
      </c>
      <c r="D14" s="14">
        <v>10101</v>
      </c>
      <c r="E14" s="13" t="s">
        <v>7</v>
      </c>
      <c r="F14" s="15"/>
      <c r="G14" s="15">
        <v>3390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6"/>
  <sheetViews>
    <sheetView workbookViewId="0">
      <selection activeCell="B26" sqref="B26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6"/>
    </row>
    <row r="2" spans="1:9" ht="18.75" x14ac:dyDescent="0.3">
      <c r="A2" s="46"/>
      <c r="B2" s="59" t="s">
        <v>79</v>
      </c>
      <c r="C2" s="46"/>
      <c r="D2" s="46"/>
      <c r="G2" s="33"/>
      <c r="H2" s="34"/>
    </row>
    <row r="3" spans="1:9" x14ac:dyDescent="0.25">
      <c r="B3" s="35"/>
      <c r="C3" s="34"/>
      <c r="D3" s="34"/>
    </row>
    <row r="4" spans="1:9" x14ac:dyDescent="0.25">
      <c r="B4" s="35"/>
      <c r="C4" s="34"/>
      <c r="D4" s="34"/>
      <c r="G4" s="46"/>
    </row>
    <row r="5" spans="1:9" x14ac:dyDescent="0.25">
      <c r="A5" s="53" t="s">
        <v>58</v>
      </c>
      <c r="B5" s="53" t="s">
        <v>59</v>
      </c>
      <c r="C5" s="53" t="s">
        <v>60</v>
      </c>
      <c r="D5" s="53" t="s">
        <v>61</v>
      </c>
    </row>
    <row r="6" spans="1:9" x14ac:dyDescent="0.25">
      <c r="A6" s="49" t="s">
        <v>62</v>
      </c>
      <c r="B6" s="47" t="s">
        <v>63</v>
      </c>
      <c r="C6" s="47" t="s">
        <v>64</v>
      </c>
      <c r="D6" s="51">
        <v>105.45780000000001</v>
      </c>
    </row>
    <row r="7" spans="1:9" x14ac:dyDescent="0.25">
      <c r="A7" s="50" t="s">
        <v>65</v>
      </c>
      <c r="B7" s="48" t="s">
        <v>66</v>
      </c>
      <c r="C7" s="48" t="s">
        <v>67</v>
      </c>
      <c r="D7" s="52"/>
      <c r="G7" s="46"/>
    </row>
    <row r="8" spans="1:9" x14ac:dyDescent="0.25">
      <c r="A8" s="49" t="s">
        <v>68</v>
      </c>
      <c r="B8" s="47" t="s">
        <v>69</v>
      </c>
      <c r="C8" s="47" t="s">
        <v>70</v>
      </c>
      <c r="D8" s="51"/>
      <c r="H8" s="39"/>
      <c r="I8" s="40"/>
    </row>
    <row r="9" spans="1:9" x14ac:dyDescent="0.25">
      <c r="A9" s="50" t="s">
        <v>71</v>
      </c>
      <c r="B9" s="48" t="s">
        <v>72</v>
      </c>
      <c r="C9" s="48" t="s">
        <v>73</v>
      </c>
      <c r="D9" s="52">
        <v>104.3039</v>
      </c>
    </row>
    <row r="10" spans="1:9" x14ac:dyDescent="0.25">
      <c r="A10" s="54" t="s">
        <v>74</v>
      </c>
      <c r="B10" s="55" t="s">
        <v>75</v>
      </c>
      <c r="C10" s="55" t="s">
        <v>76</v>
      </c>
      <c r="D10" s="56"/>
      <c r="G10" s="46"/>
      <c r="H10" s="44"/>
    </row>
    <row r="11" spans="1:9" ht="15.75" x14ac:dyDescent="0.25">
      <c r="A11" s="41"/>
      <c r="B11" s="35"/>
      <c r="C11" s="43"/>
      <c r="D11" s="34"/>
    </row>
    <row r="12" spans="1:9" x14ac:dyDescent="0.25">
      <c r="G12" s="46"/>
      <c r="H12" s="44"/>
    </row>
    <row r="13" spans="1:9" x14ac:dyDescent="0.25">
      <c r="C13" s="34"/>
    </row>
    <row r="14" spans="1:9" x14ac:dyDescent="0.25">
      <c r="C14" s="35"/>
    </row>
    <row r="15" spans="1:9" x14ac:dyDescent="0.25">
      <c r="C15" s="35"/>
      <c r="H15" s="39"/>
    </row>
    <row r="16" spans="1:9" x14ac:dyDescent="0.25">
      <c r="C16" s="3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32" t="s">
        <v>39</v>
      </c>
      <c r="H1" t="s">
        <v>40</v>
      </c>
      <c r="I1" t="s">
        <v>41</v>
      </c>
      <c r="J1" t="s">
        <v>42</v>
      </c>
    </row>
    <row r="2" spans="1:10" x14ac:dyDescent="0.25">
      <c r="A2" s="16" t="s">
        <v>43</v>
      </c>
      <c r="B2" s="16" t="s">
        <v>44</v>
      </c>
      <c r="C2" s="16" t="s">
        <v>45</v>
      </c>
      <c r="D2" s="16" t="s">
        <v>46</v>
      </c>
      <c r="G2" s="33"/>
      <c r="H2" s="34"/>
    </row>
    <row r="3" spans="1:10" x14ac:dyDescent="0.25">
      <c r="A3" t="s">
        <v>47</v>
      </c>
      <c r="B3" s="35">
        <f t="shared" ref="B3" si="0">H2*7</f>
        <v>0</v>
      </c>
      <c r="C3" s="34">
        <f>Tabla45[[#This Row],[Semanal ]]/52</f>
        <v>0</v>
      </c>
      <c r="D3" s="34"/>
    </row>
    <row r="4" spans="1:10" x14ac:dyDescent="0.25">
      <c r="A4" t="s">
        <v>48</v>
      </c>
      <c r="B4" s="35">
        <f>((H8*H2)+I8*(H8*H2))/52</f>
        <v>0</v>
      </c>
      <c r="C4" s="34"/>
      <c r="D4" s="34"/>
      <c r="G4" s="32" t="s">
        <v>49</v>
      </c>
      <c r="H4" t="s">
        <v>50</v>
      </c>
      <c r="I4" t="s">
        <v>51</v>
      </c>
    </row>
    <row r="5" spans="1:10" x14ac:dyDescent="0.25">
      <c r="A5" t="s">
        <v>49</v>
      </c>
      <c r="B5" s="35">
        <f>(I5*H2)/52</f>
        <v>0</v>
      </c>
      <c r="C5" s="34"/>
      <c r="D5" s="34"/>
      <c r="I5">
        <f>IF(H5=1,10,IF(H5&lt;4,10,IF(H5=4,15,IF(H5&lt;11,15,18))))</f>
        <v>10</v>
      </c>
    </row>
    <row r="6" spans="1:10" x14ac:dyDescent="0.25">
      <c r="A6" t="s">
        <v>52</v>
      </c>
      <c r="B6" s="35">
        <f>(B3+B4)*H10</f>
        <v>0</v>
      </c>
      <c r="C6" s="34"/>
      <c r="D6" s="34"/>
      <c r="J6">
        <f>IF(I5&gt;=1,10,IF(I5&lt;=3,10,IF(I5&lt;=10,15,18)))</f>
        <v>10</v>
      </c>
    </row>
    <row r="7" spans="1:10" x14ac:dyDescent="0.25">
      <c r="A7" t="s">
        <v>53</v>
      </c>
      <c r="B7" s="35">
        <f>(B3+B4)*H12</f>
        <v>0</v>
      </c>
      <c r="C7" s="34"/>
      <c r="D7" s="34"/>
      <c r="G7" s="32" t="s">
        <v>48</v>
      </c>
      <c r="H7" t="s">
        <v>51</v>
      </c>
      <c r="I7" t="s">
        <v>54</v>
      </c>
    </row>
    <row r="8" spans="1:10" x14ac:dyDescent="0.25">
      <c r="B8" s="36"/>
      <c r="C8" s="37"/>
      <c r="D8" s="38"/>
      <c r="H8" s="39">
        <v>15</v>
      </c>
      <c r="I8" s="40">
        <v>0.3</v>
      </c>
    </row>
    <row r="9" spans="1:10" ht="15.75" x14ac:dyDescent="0.25">
      <c r="A9" s="41" t="s">
        <v>61</v>
      </c>
      <c r="B9" s="42">
        <f>SUM(B3:B7)</f>
        <v>0</v>
      </c>
      <c r="C9" s="42">
        <f t="shared" ref="C9:D9" si="1">SUM(C3:C7)</f>
        <v>0</v>
      </c>
      <c r="D9" s="42">
        <f t="shared" si="1"/>
        <v>0</v>
      </c>
    </row>
    <row r="10" spans="1:10" x14ac:dyDescent="0.25">
      <c r="B10" s="35"/>
      <c r="C10" s="43"/>
      <c r="D10" s="34"/>
      <c r="G10" s="32" t="s">
        <v>52</v>
      </c>
      <c r="H10" s="44">
        <v>7.4999999999999997E-2</v>
      </c>
    </row>
    <row r="11" spans="1:10" ht="15.75" x14ac:dyDescent="0.25">
      <c r="A11" s="41" t="s">
        <v>78</v>
      </c>
      <c r="B11" s="35">
        <f>H2*I2</f>
        <v>0</v>
      </c>
      <c r="C11" s="43">
        <f>+H2</f>
        <v>0</v>
      </c>
      <c r="D11" s="34"/>
    </row>
    <row r="12" spans="1:10" x14ac:dyDescent="0.25">
      <c r="G12" s="32" t="s">
        <v>53</v>
      </c>
      <c r="H12" s="44">
        <v>7.7499999999999999E-2</v>
      </c>
    </row>
    <row r="13" spans="1:10" x14ac:dyDescent="0.25">
      <c r="B13" t="s">
        <v>55</v>
      </c>
      <c r="C13" s="34"/>
    </row>
    <row r="14" spans="1:10" x14ac:dyDescent="0.25">
      <c r="B14" t="s">
        <v>56</v>
      </c>
      <c r="C14" s="35">
        <f>H2*I2</f>
        <v>0</v>
      </c>
    </row>
    <row r="15" spans="1:10" x14ac:dyDescent="0.25">
      <c r="B15" t="s">
        <v>45</v>
      </c>
      <c r="C15" s="35">
        <f>+H2</f>
        <v>0</v>
      </c>
      <c r="G15" s="45" t="s">
        <v>57</v>
      </c>
      <c r="H15" s="39" t="e">
        <f>B9/C14</f>
        <v>#DIV/0!</v>
      </c>
    </row>
    <row r="16" spans="1:10" x14ac:dyDescent="0.25">
      <c r="B16" t="s">
        <v>46</v>
      </c>
      <c r="C16" s="35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ListaCuentas" imageMso="BuildingBlocksOrganizer"/>
          <button id="adminCuentas" label="Administrar Cuentas" size="large" onAction="form_AdminCuentas" imageMso="AssetSettings"/>
          <button id="libro_diario" label="Libro Diario" onAction="form_asientos" size="large" imageMso="CreateReport"/>
          <button id="libro_mayor" label="Libro Mayor" onAction="form_asientos" size="large" imageMso="PivotTableBlankRowsRemov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Catalogo</vt:lpstr>
      <vt:lpstr>Libro Diario</vt:lpstr>
      <vt:lpstr>Libro Mayor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2021-10-20T04:53:18Z</dcterms:modified>
</cp:coreProperties>
</file>