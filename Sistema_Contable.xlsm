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be15530a22545a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Nueva carpeta\Sistema-Contable\"/>
    </mc:Choice>
  </mc:AlternateContent>
  <xr:revisionPtr revIDLastSave="0" documentId="13_ncr:1_{3A4B5C4D-9AD4-48AD-B1CC-305C8FC05524}" xr6:coauthVersionLast="47" xr6:coauthVersionMax="47" xr10:uidLastSave="{00000000-0000-0000-0000-000000000000}"/>
  <bookViews>
    <workbookView xWindow="810" yWindow="-120" windowWidth="19800" windowHeight="11760" tabRatio="766" xr2:uid="{00000000-000D-0000-FFFF-FFFF00000000}"/>
  </bookViews>
  <sheets>
    <sheet name="Inicio" sheetId="1" r:id="rId1"/>
    <sheet name="Catalogo" sheetId="2" r:id="rId2"/>
    <sheet name="Libro Diario" sheetId="3" r:id="rId3"/>
    <sheet name="Libro Mayor" sheetId="4" r:id="rId4"/>
    <sheet name="Balance de Comprobación" sheetId="8" r:id="rId5"/>
    <sheet name="Empleados" sheetId="6" r:id="rId6"/>
    <sheet name="Prestaciones" sheetId="7" r:id="rId7"/>
    <sheet name="Hoja de trabajo" sheetId="10" r:id="rId8"/>
    <sheet name="Costeo de un producto" sheetId="9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7" l="1"/>
  <c r="D3" i="7" l="1"/>
  <c r="I5" i="7"/>
  <c r="B5" i="7" s="1"/>
  <c r="C16" i="7"/>
  <c r="C15" i="7"/>
  <c r="C14" i="7"/>
  <c r="C11" i="7"/>
  <c r="B11" i="7"/>
  <c r="B4" i="7"/>
  <c r="B3" i="7"/>
  <c r="C3" i="7" s="1"/>
  <c r="B6" i="7" l="1"/>
  <c r="J6" i="7"/>
  <c r="B7" i="7"/>
  <c r="B9" i="7" l="1"/>
  <c r="H15" i="7" s="1"/>
</calcChain>
</file>

<file path=xl/sharedStrings.xml><?xml version="1.0" encoding="utf-8"?>
<sst xmlns="http://schemas.openxmlformats.org/spreadsheetml/2006/main" count="448" uniqueCount="262">
  <si>
    <t>GRUPO</t>
  </si>
  <si>
    <t>NOMBRE DE LA CUENTA</t>
  </si>
  <si>
    <t>ACTIVO</t>
  </si>
  <si>
    <t>PASIVO</t>
  </si>
  <si>
    <t>PATRIMONIO</t>
  </si>
  <si>
    <t>CUENTA</t>
  </si>
  <si>
    <t>CAJA</t>
  </si>
  <si>
    <t>DEBE</t>
  </si>
  <si>
    <t>HABER</t>
  </si>
  <si>
    <t>FECHA</t>
  </si>
  <si>
    <t>CONCEPTO</t>
  </si>
  <si>
    <t>Partida No.</t>
  </si>
  <si>
    <t>Separador Decimal</t>
  </si>
  <si>
    <t>Muestra</t>
  </si>
  <si>
    <t>Configuración  Según Windows</t>
  </si>
  <si>
    <t>.</t>
  </si>
  <si>
    <t>CRÉDITO FISCAL</t>
  </si>
  <si>
    <t>DÉBITO FISCAL</t>
  </si>
  <si>
    <t>NIVEL</t>
  </si>
  <si>
    <t>Datos empleado</t>
  </si>
  <si>
    <t>Salario diario</t>
  </si>
  <si>
    <t>Dias de trabajo</t>
  </si>
  <si>
    <t>Horas</t>
  </si>
  <si>
    <t>Prestaciones</t>
  </si>
  <si>
    <t xml:space="preserve">Semanal </t>
  </si>
  <si>
    <t xml:space="preserve">Diario </t>
  </si>
  <si>
    <t>Hora</t>
  </si>
  <si>
    <t>Septimo dia</t>
  </si>
  <si>
    <t>Vacaciones</t>
  </si>
  <si>
    <t>Aguinaldo</t>
  </si>
  <si>
    <t>Tiempo Empresa</t>
  </si>
  <si>
    <t>Dias</t>
  </si>
  <si>
    <t>ISSS</t>
  </si>
  <si>
    <t>AFP</t>
  </si>
  <si>
    <t>Recargo</t>
  </si>
  <si>
    <t xml:space="preserve">Nominal </t>
  </si>
  <si>
    <t>Semana</t>
  </si>
  <si>
    <t>Factor de recargo</t>
  </si>
  <si>
    <t>ID</t>
  </si>
  <si>
    <t>NOMBRE</t>
  </si>
  <si>
    <t>CARGO QUE DESEMPEÑA</t>
  </si>
  <si>
    <t>COSTO REAL</t>
  </si>
  <si>
    <t>001</t>
  </si>
  <si>
    <t>002</t>
  </si>
  <si>
    <t>Gabriela Lisbeth Alfaro Martinez</t>
  </si>
  <si>
    <t>Desarrollador Backend</t>
  </si>
  <si>
    <t>003</t>
  </si>
  <si>
    <t>Indira Marisol Sandoval Rodiguez</t>
  </si>
  <si>
    <t>Analista de requirimientos</t>
  </si>
  <si>
    <t>004</t>
  </si>
  <si>
    <t>Diana Beatriz Ponce Orellana</t>
  </si>
  <si>
    <t>Diseñador UX</t>
  </si>
  <si>
    <t>005</t>
  </si>
  <si>
    <t xml:space="preserve">Bienvenido </t>
  </si>
  <si>
    <t>COSTO NOMINAL</t>
  </si>
  <si>
    <t>CUENTAS DE RESULTADO DEUDORAS</t>
  </si>
  <si>
    <t>CUENTAS DE RESULTADO ACREEDORAS</t>
  </si>
  <si>
    <t>CUENTA LIQUIDADORA DE SESULTADOS</t>
  </si>
  <si>
    <t>CODIGO</t>
  </si>
  <si>
    <t>admin</t>
  </si>
  <si>
    <t>ACTIVOS</t>
  </si>
  <si>
    <t>ACTIVOS CORRIENTES</t>
  </si>
  <si>
    <t>PASIVOS</t>
  </si>
  <si>
    <t>EFECTIVO Y EQUIVALENTES AL EFECTIVO</t>
  </si>
  <si>
    <t>PASIVO CORRIENTE</t>
  </si>
  <si>
    <t>INTERESES POR COBRAR</t>
  </si>
  <si>
    <t>CUENTAS POR COBRAR</t>
  </si>
  <si>
    <t>CUENTAS POR COBRAR A CLIENTES</t>
  </si>
  <si>
    <t>ACCIONISTAS</t>
  </si>
  <si>
    <t>INVENTARIOS</t>
  </si>
  <si>
    <t>GASTOS PAGADOS POR ANTICIPADO</t>
  </si>
  <si>
    <t>SEGURO PAGADO POR ANTICIPADO</t>
  </si>
  <si>
    <t>ALQUILERES PAGADOS POR ANTICIPADO</t>
  </si>
  <si>
    <t>PUBLICIDAD  PAGADA POR ANTICIPADO</t>
  </si>
  <si>
    <t>INTERESES PAGADOS POR ANTICIPADO</t>
  </si>
  <si>
    <t>OTROS GASTOS PAGADOS POR ANTICIPADO</t>
  </si>
  <si>
    <t>ESTIMACIÓN PARA CUENTAS INCOBRABLES</t>
  </si>
  <si>
    <t>ACTIVO NO CORRIENTE</t>
  </si>
  <si>
    <t>PROPIEDADES, PLANTA Y EQUIPO</t>
  </si>
  <si>
    <t>EDIFICIOS</t>
  </si>
  <si>
    <t>MOBILIARIO Y EQUIPO DE OFICINA</t>
  </si>
  <si>
    <t>EQUIPO DE COMPUTO</t>
  </si>
  <si>
    <t>VEHICULOS</t>
  </si>
  <si>
    <t>DEPRECIACIÓN ACUMULADA</t>
  </si>
  <si>
    <t>PROPIEDADES, PLANTA Y EQUIPO EN ARRENDAMIENTOS FINANCIEROS</t>
  </si>
  <si>
    <t>EDIFICIOS EN ARRENDAMIENTOS FINANCIEROS</t>
  </si>
  <si>
    <t>VEHICULOS EN ARRENDAMIENTOS FINANCIEROS</t>
  </si>
  <si>
    <t>MOBILIARIO Y EQUIPOS EN ARRENDAMIENTOS FINANCIERO</t>
  </si>
  <si>
    <t>CUENTAS POR COBRAR A LARGO PLAZO</t>
  </si>
  <si>
    <t>ACTIVOS INTAGIBLES</t>
  </si>
  <si>
    <t>PATENTES Y MARCAS DE FABRICA</t>
  </si>
  <si>
    <t>FRANQUICIAS</t>
  </si>
  <si>
    <t>LICENCIAS Y PROGRAMAS</t>
  </si>
  <si>
    <t>GASTOS DE LEGALIZACIÓN Y DE ORGANIZACIÓN</t>
  </si>
  <si>
    <t>AMORTIZACIÓN ACUMULADA DE ACTIVOS INTANGIBLES</t>
  </si>
  <si>
    <t>ACREEDORES VARIOS</t>
  </si>
  <si>
    <t>INTERESES POR PAGAR</t>
  </si>
  <si>
    <t>ALQUILERES POR PAGAR</t>
  </si>
  <si>
    <t>ANTICIPOS DE CLIENTES</t>
  </si>
  <si>
    <t>CUENTAS POR PAGAR</t>
  </si>
  <si>
    <t>RETENCIONES</t>
  </si>
  <si>
    <t>COTIZACIONES AL SEGURO SOCIAL SALUD</t>
  </si>
  <si>
    <t>COTIZACIONES A FONDO DE PENSIONES</t>
  </si>
  <si>
    <t>ORDENES DE DESCUENTOS DE BANCOS</t>
  </si>
  <si>
    <t>OTRAS RETENCIONES</t>
  </si>
  <si>
    <t>BENEFICIOS A EMPLEADOS POR PAGAR</t>
  </si>
  <si>
    <t>SUELDOS Y SALARIOS POR PAGAR</t>
  </si>
  <si>
    <t>AGUINALDOS POR PAGAR</t>
  </si>
  <si>
    <t>VACACIONES POR PAGAR</t>
  </si>
  <si>
    <t>IVA DÉBITO FISCAL</t>
  </si>
  <si>
    <t>PASIVO NO CORRIENTE</t>
  </si>
  <si>
    <t>PRESTAMOS BANCARIOS A LARGO PLAZO</t>
  </si>
  <si>
    <t>OBLIGACIONES POR ARRENDAMIENTOS FINANCIEROS LARGO PLAZO</t>
  </si>
  <si>
    <t>BENEFICIOS POR PAGAR A EMPLEADOS LARGO PLAZO</t>
  </si>
  <si>
    <t>CAPITAL Y RESERVAS</t>
  </si>
  <si>
    <t>CAPITAL</t>
  </si>
  <si>
    <t>RESERVAS</t>
  </si>
  <si>
    <t>RESULTADOS POR APLICAR</t>
  </si>
  <si>
    <t>UTILIDADES DE EJERCICIOS ANTERIORES</t>
  </si>
  <si>
    <t>UTILIDADES DEL PRESENTE EJERCICIO</t>
  </si>
  <si>
    <t>COSTOS Y GASTOS DE OPERACIÓN</t>
  </si>
  <si>
    <t>COSTO DE SERVICIOS</t>
  </si>
  <si>
    <t>COSTO DE DESARROLLO DEL SISTEMA</t>
  </si>
  <si>
    <t>GASTOS ADMINISTRATIVOS</t>
  </si>
  <si>
    <t>GASTOS DEL PERSONAL</t>
  </si>
  <si>
    <t>GASTOS POR SERVICIOS PUBLICOS Y PRIVADOS</t>
  </si>
  <si>
    <t>SERVICIOS BASICOS</t>
  </si>
  <si>
    <t>CONSULTORIAS O ASESORIAS EXTERNAS</t>
  </si>
  <si>
    <t>SERVICIOS DE TECNICO Y PROFESIONALES</t>
  </si>
  <si>
    <t>PUBLICIDAD</t>
  </si>
  <si>
    <t>OTROS SERVICIOS</t>
  </si>
  <si>
    <t>GASTOS DE MANTENIMIENTOS</t>
  </si>
  <si>
    <t>MANTENIMIENTOS DE EDIFICIOS</t>
  </si>
  <si>
    <t>GASTOS POR SEGUROS</t>
  </si>
  <si>
    <t>MANTENIMIENTO DE HARDWARE Y SOFTWARE</t>
  </si>
  <si>
    <t>MANTENIMIENTO DEL SISTEMA</t>
  </si>
  <si>
    <t>MANTENIMIENTO DE MOBILIARIO Y EQUIPO DE OFICINA</t>
  </si>
  <si>
    <t>MANTENIMIENTO DE VEHICULOS</t>
  </si>
  <si>
    <t>OTROS GASTOS DE MANTENIMIENTO</t>
  </si>
  <si>
    <t>GASTOS POR DEPRECIACIONES Y AMORTIZACIONES</t>
  </si>
  <si>
    <t>GASTOS A CLIENTES Y EMPLEADOS</t>
  </si>
  <si>
    <t>ATENCIÓN A CLIENTES</t>
  </si>
  <si>
    <t>GASTO DE FORMACIÓN A EMPLEADOS</t>
  </si>
  <si>
    <t>GASTOS DE VIAJES, VIATICOS Y REPRESENTACIÓN</t>
  </si>
  <si>
    <t>OTROS COSTOS Y GASTOS</t>
  </si>
  <si>
    <t>GASTOS FINANCIEROS</t>
  </si>
  <si>
    <t>GASTO INTERESES SOBRE PRESTAMOS</t>
  </si>
  <si>
    <t xml:space="preserve"> PERDIDAS DE SINIESTROS</t>
  </si>
  <si>
    <t>PERDIDAS EN VENTA O RETIROS DE ACTIVOS FIJOS</t>
  </si>
  <si>
    <t>PERDIDAS DE EJERCICIOS ANTERIORES</t>
  </si>
  <si>
    <t>OTROS GASTOS</t>
  </si>
  <si>
    <t>CUENTAS DE RESULTADOS ACREEDORAS</t>
  </si>
  <si>
    <t>INGRESOS DE ACTIVIDADES ORDINARIAS</t>
  </si>
  <si>
    <t>INGRESOS POR SERVICIOS</t>
  </si>
  <si>
    <t>SOFTWARE A LA MEDIDA</t>
  </si>
  <si>
    <t xml:space="preserve">INGRESOS DE NO OPERACIÓN </t>
  </si>
  <si>
    <t>INGRESOS FINANCIEROS</t>
  </si>
  <si>
    <t>INGRESOS POR INTERESES</t>
  </si>
  <si>
    <t>CUENTA LIQUIDADORA DE RESULTADOS</t>
  </si>
  <si>
    <t>CUENTA DE CIERRE</t>
  </si>
  <si>
    <t>UTILIDADES O PERDIDAS</t>
  </si>
  <si>
    <t>IVA CRÉDITO FISCAL</t>
  </si>
  <si>
    <t>#</t>
  </si>
  <si>
    <t>ACCIONISTA 1</t>
  </si>
  <si>
    <t>CAPITAL SOCIAL</t>
  </si>
  <si>
    <t>EFECTIVO EN BANCOS</t>
  </si>
  <si>
    <t xml:space="preserve">APP </t>
  </si>
  <si>
    <t>VALOR INICIAL</t>
  </si>
  <si>
    <t>VALOR INICAL</t>
  </si>
  <si>
    <t>CAPITAL INICIAL PARA MES DE OCTUBRE</t>
  </si>
  <si>
    <t>PAGO DE CEDIFICO CUOTA MENSUAL DE EDIFICIO</t>
  </si>
  <si>
    <t>SALIDA DE EFECTIVO PARA PAGAR EL ALQUILER</t>
  </si>
  <si>
    <t>COMPRA DE SEGURO CONTRA INCENDIOS</t>
  </si>
  <si>
    <t>PAGO DE LA MITAD DE EFECTIVO POR COMPRA DE SEGURO</t>
  </si>
  <si>
    <t>DEUDA POR LA COMPRA DE SEGURO</t>
  </si>
  <si>
    <t>COMPRA DE VEHICULO</t>
  </si>
  <si>
    <t>PAGO POR LA COMPRA DE VEHICULO</t>
  </si>
  <si>
    <t>COMPRA DE EQUIPOS</t>
  </si>
  <si>
    <t>DEUDA POR LA COMPRA DE EQUIPO</t>
  </si>
  <si>
    <t>VENTA DE APP</t>
  </si>
  <si>
    <t>COSTO DEL PRODUCTO REALIZADO</t>
  </si>
  <si>
    <t>INGRESO POR VENTA DE SOFTWARE</t>
  </si>
  <si>
    <t>MONTO A COBRAR POR VENTA AL CREDITO DE SOFTWARE</t>
  </si>
  <si>
    <t>PAGO DE LA COMPRA EN TRANSACCION 5 APROVECHO DESCUENTO</t>
  </si>
  <si>
    <t>PAGO DE LA MITAD ADQUIRIDA EN LA TRANSACCION 5</t>
  </si>
  <si>
    <t>COMPRA DE MERCADERIA</t>
  </si>
  <si>
    <t>PAGO POR LA COMPRA DE MERCADERIA</t>
  </si>
  <si>
    <t>DEVUELVE LA 4° PARTE DE LA MERCADERIA DE TRANSACCION 8</t>
  </si>
  <si>
    <t>DISMINUCION DE IVA</t>
  </si>
  <si>
    <t>CARGO POR LA VENTA</t>
  </si>
  <si>
    <t>SALIDA</t>
  </si>
  <si>
    <t>COSTO DE LO VENDIDO</t>
  </si>
  <si>
    <t>EFECTIVO RECIBIDO POR VENTA DE SOFTWARE</t>
  </si>
  <si>
    <t>COSTO POR SERVICIOS BASICOS</t>
  </si>
  <si>
    <t>PAGO DE SALARIOS DE EMPLEADOS</t>
  </si>
  <si>
    <t>PAGO DE EMPLEADOS</t>
  </si>
  <si>
    <t>Columna1</t>
  </si>
  <si>
    <t>Nombre del Empleado</t>
  </si>
  <si>
    <t>Salario por hora</t>
  </si>
  <si>
    <t>Costo fijo</t>
  </si>
  <si>
    <t xml:space="preserve">Valor </t>
  </si>
  <si>
    <t>Electricidad</t>
  </si>
  <si>
    <t>Agua</t>
  </si>
  <si>
    <t>Internet</t>
  </si>
  <si>
    <t>Publicidad</t>
  </si>
  <si>
    <t>Transporte</t>
  </si>
  <si>
    <t>Costos</t>
  </si>
  <si>
    <t>Alquiler de Local</t>
  </si>
  <si>
    <t>Deprecicion de equipo</t>
  </si>
  <si>
    <t>Nombre del proyecto</t>
  </si>
  <si>
    <t>Duracion del proyecto</t>
  </si>
  <si>
    <t>Mano de obra</t>
  </si>
  <si>
    <t>Costos fijos</t>
  </si>
  <si>
    <t>Total</t>
  </si>
  <si>
    <t>Virus</t>
  </si>
  <si>
    <t>Haber</t>
  </si>
  <si>
    <t xml:space="preserve">Debe </t>
  </si>
  <si>
    <t>Debe</t>
  </si>
  <si>
    <t>Balance General</t>
  </si>
  <si>
    <t>Estado de capital</t>
  </si>
  <si>
    <t>Estado de resultado</t>
  </si>
  <si>
    <t>Ajustes</t>
  </si>
  <si>
    <t>Nombre de cuentas</t>
  </si>
  <si>
    <t>HOJA DE TRABAJO</t>
  </si>
  <si>
    <t>Desarrollador Full-Stack</t>
  </si>
  <si>
    <t>Manuel Esteban Ponce Pineda</t>
  </si>
  <si>
    <t>GASTOS PAGADOS POR ADELANTADO</t>
  </si>
  <si>
    <t>GASTOS ACUMULADOS</t>
  </si>
  <si>
    <t>INGRESOS ACUMULADOS</t>
  </si>
  <si>
    <t>INGRESOS NO DEVENGADOS</t>
  </si>
  <si>
    <t>DEPRECIACIÓN</t>
  </si>
  <si>
    <t>GASTO POR ALQUILER</t>
  </si>
  <si>
    <t>GASTO POR SEGURO</t>
  </si>
  <si>
    <t>GASTO POR PUBLICIDAD</t>
  </si>
  <si>
    <t>SALARIOS POR PAGAR</t>
  </si>
  <si>
    <t>CUENTAS INCOBRABLES</t>
  </si>
  <si>
    <t>INGRESO POR INTERES</t>
  </si>
  <si>
    <t>INGRESO POR SERVICIO NO DEVENGAGO</t>
  </si>
  <si>
    <t>GASTO POR DEPRECIACIÓN</t>
  </si>
  <si>
    <t>GASTO POR AMORTIZACIÓN</t>
  </si>
  <si>
    <t xml:space="preserve">DEPRECIACIÓN </t>
  </si>
  <si>
    <t>AJUSTES</t>
  </si>
  <si>
    <t>CATEGORIA DE AJUSTES</t>
  </si>
  <si>
    <t>BLAZING SOFT S.A DE C.V</t>
  </si>
  <si>
    <t>SALDO DEUDOR</t>
  </si>
  <si>
    <t>SALDO ACREEDOR</t>
  </si>
  <si>
    <t>Balance de comprobación ajustado</t>
  </si>
  <si>
    <t>Balance de comprobación</t>
  </si>
  <si>
    <t>Carlos Javier Perez Ochoa</t>
  </si>
  <si>
    <t>Desarrollador</t>
  </si>
  <si>
    <t/>
  </si>
  <si>
    <t>INVENTARIO DE HERRAMIENTAS</t>
  </si>
  <si>
    <t xml:space="preserve">BLAZING SOFT </t>
  </si>
  <si>
    <t>DEL 01  AL 31 DE OCTUBRE DEL 2021</t>
  </si>
  <si>
    <t>OTRAS CUENTAS POR COBRAR</t>
  </si>
  <si>
    <t>SOBREGIROS BANCARIOS</t>
  </si>
  <si>
    <t>PRÉSTAMOS BANCARIOS</t>
  </si>
  <si>
    <t>PROVEEDORES POR PAGAR</t>
  </si>
  <si>
    <t>OTRAS CUENTAS POR PAGAR</t>
  </si>
  <si>
    <t>PRÉSTAMOS PERSONALES</t>
  </si>
  <si>
    <t>DESCUENTOS Y DEVOLUCIONES SOBRE VENTAS</t>
  </si>
  <si>
    <t>SOBREGIROS Y PRÉSTAMOS BANCARIOS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</si>
</sst>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;\-&quot;$&quot;#,##0.00"/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-[$$-440A]* #,##0.00_-;\-[$$-440A]* #,##0.00_-;_-[$$-440A]* &quot;-&quot;??_-;_-@_-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5"/>
      <color theme="0"/>
      <name val="Roboto"/>
    </font>
    <font>
      <sz val="16"/>
      <color theme="0"/>
      <name val="Roboto"/>
    </font>
    <font>
      <b/>
      <sz val="14"/>
      <color theme="1"/>
      <name val="Calibri"/>
      <family val="2"/>
      <scheme val="minor"/>
    </font>
    <font>
      <b/>
      <sz val="14"/>
      <color theme="0"/>
      <name val="Roboto"/>
    </font>
    <font>
      <b/>
      <sz val="12"/>
      <color theme="0"/>
      <name val="Calibri"/>
      <family val="2"/>
      <scheme val="minor"/>
    </font>
    <font>
      <sz val="8"/>
      <color rgb="FF008080"/>
      <name val="Times New Roman"/>
      <family val="1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8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8080"/>
        <bgColor theme="4"/>
      </patternFill>
    </fill>
    <fill>
      <patternFill patternType="solid">
        <fgColor rgb="FF006666"/>
        <bgColor indexed="64"/>
      </patternFill>
    </fill>
    <fill>
      <patternFill patternType="solid">
        <fgColor rgb="FF64BEBE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BEBEBE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3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165" fontId="0" fillId="0" borderId="0" xfId="1" applyNumberFormat="1" applyFont="1"/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left"/>
    </xf>
    <xf numFmtId="165" fontId="0" fillId="0" borderId="3" xfId="1" applyNumberFormat="1" applyFont="1" applyBorder="1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2" fillId="2" borderId="0" xfId="0" applyNumberFormat="1" applyFont="1" applyFill="1" applyAlignment="1">
      <alignment horizontal="left"/>
    </xf>
    <xf numFmtId="164" fontId="0" fillId="2" borderId="1" xfId="1" applyFont="1" applyFill="1" applyBorder="1"/>
    <xf numFmtId="0" fontId="5" fillId="0" borderId="0" xfId="0" applyFont="1" applyAlignment="1">
      <alignment horizontal="center"/>
    </xf>
    <xf numFmtId="0" fontId="5" fillId="0" borderId="0" xfId="0" applyFont="1"/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2" fillId="2" borderId="0" xfId="0" applyNumberFormat="1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left"/>
    </xf>
    <xf numFmtId="0" fontId="2" fillId="2" borderId="0" xfId="0" applyFont="1" applyFill="1" applyBorder="1"/>
    <xf numFmtId="165" fontId="2" fillId="2" borderId="0" xfId="1" applyNumberFormat="1" applyFont="1" applyFill="1" applyBorder="1" applyAlignment="1">
      <alignment horizontal="center"/>
    </xf>
    <xf numFmtId="0" fontId="0" fillId="3" borderId="0" xfId="0" applyFill="1"/>
    <xf numFmtId="0" fontId="0" fillId="4" borderId="0" xfId="0" applyFill="1"/>
    <xf numFmtId="49" fontId="0" fillId="0" borderId="0" xfId="0" applyNumberFormat="1"/>
    <xf numFmtId="164" fontId="0" fillId="0" borderId="0" xfId="1" applyFont="1"/>
    <xf numFmtId="164" fontId="0" fillId="0" borderId="0" xfId="0" applyNumberFormat="1"/>
    <xf numFmtId="164" fontId="1" fillId="0" borderId="0" xfId="0" applyNumberFormat="1" applyFont="1"/>
    <xf numFmtId="164" fontId="1" fillId="0" borderId="0" xfId="1" applyNumberFormat="1" applyFont="1"/>
    <xf numFmtId="164" fontId="1" fillId="0" borderId="0" xfId="1" applyFont="1"/>
    <xf numFmtId="2" fontId="0" fillId="0" borderId="0" xfId="0" applyNumberFormat="1"/>
    <xf numFmtId="9" fontId="0" fillId="0" borderId="0" xfId="0" applyNumberFormat="1"/>
    <xf numFmtId="0" fontId="8" fillId="0" borderId="0" xfId="0" applyFont="1"/>
    <xf numFmtId="164" fontId="8" fillId="0" borderId="0" xfId="0" applyNumberFormat="1" applyFont="1"/>
    <xf numFmtId="164" fontId="0" fillId="0" borderId="0" xfId="1" applyNumberFormat="1" applyFont="1"/>
    <xf numFmtId="10" fontId="0" fillId="0" borderId="0" xfId="0" applyNumberFormat="1"/>
    <xf numFmtId="0" fontId="0" fillId="6" borderId="0" xfId="0" applyFill="1"/>
    <xf numFmtId="0" fontId="0" fillId="0" borderId="0" xfId="0" applyFill="1"/>
    <xf numFmtId="0" fontId="0" fillId="5" borderId="4" xfId="0" applyFill="1" applyBorder="1"/>
    <xf numFmtId="0" fontId="0" fillId="0" borderId="4" xfId="0" applyBorder="1"/>
    <xf numFmtId="0" fontId="2" fillId="7" borderId="5" xfId="0" applyFont="1" applyFill="1" applyBorder="1"/>
    <xf numFmtId="49" fontId="0" fillId="5" borderId="6" xfId="0" applyNumberFormat="1" applyFill="1" applyBorder="1"/>
    <xf numFmtId="0" fontId="9" fillId="0" borderId="0" xfId="0" applyFont="1"/>
    <xf numFmtId="0" fontId="10" fillId="2" borderId="0" xfId="0" applyFont="1" applyFill="1" applyAlignment="1">
      <alignment vertical="center"/>
    </xf>
    <xf numFmtId="0" fontId="12" fillId="0" borderId="0" xfId="0" applyFont="1" applyFill="1"/>
    <xf numFmtId="0" fontId="13" fillId="2" borderId="0" xfId="0" applyFont="1" applyFill="1"/>
    <xf numFmtId="0" fontId="14" fillId="8" borderId="0" xfId="0" applyNumberFormat="1" applyFont="1" applyFill="1" applyAlignment="1">
      <alignment horizontal="left"/>
    </xf>
    <xf numFmtId="0" fontId="14" fillId="8" borderId="0" xfId="0" applyFont="1" applyFill="1"/>
    <xf numFmtId="0" fontId="14" fillId="8" borderId="0" xfId="0" applyFont="1" applyFill="1" applyAlignment="1">
      <alignment horizontal="center"/>
    </xf>
    <xf numFmtId="0" fontId="15" fillId="2" borderId="0" xfId="0" applyFont="1" applyFill="1" applyBorder="1" applyAlignment="1">
      <alignment vertical="center" wrapText="1"/>
    </xf>
    <xf numFmtId="0" fontId="3" fillId="3" borderId="0" xfId="0" applyNumberFormat="1" applyFont="1" applyFill="1" applyAlignment="1">
      <alignment horizontal="left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/>
    </xf>
    <xf numFmtId="0" fontId="1" fillId="3" borderId="0" xfId="0" applyFont="1" applyFill="1"/>
    <xf numFmtId="0" fontId="1" fillId="3" borderId="0" xfId="0" applyNumberFormat="1" applyFont="1" applyFill="1" applyAlignment="1">
      <alignment horizontal="left"/>
    </xf>
    <xf numFmtId="0" fontId="1" fillId="3" borderId="0" xfId="0" applyFont="1" applyFill="1" applyAlignment="1">
      <alignment horizontal="center"/>
    </xf>
    <xf numFmtId="0" fontId="8" fillId="3" borderId="0" xfId="0" applyFont="1" applyFill="1"/>
    <xf numFmtId="0" fontId="8" fillId="3" borderId="0" xfId="0" applyFont="1" applyFill="1" applyAlignment="1">
      <alignment horizontal="center"/>
    </xf>
    <xf numFmtId="0" fontId="8" fillId="3" borderId="0" xfId="0" applyNumberFormat="1" applyFont="1" applyFill="1" applyAlignment="1">
      <alignment horizontal="left"/>
    </xf>
    <xf numFmtId="0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6" fillId="3" borderId="0" xfId="0" applyFont="1" applyFill="1" applyAlignment="1">
      <alignment horizontal="center"/>
    </xf>
    <xf numFmtId="0" fontId="0" fillId="0" borderId="7" xfId="0" applyBorder="1" applyAlignment="1">
      <alignment horizontal="center"/>
    </xf>
    <xf numFmtId="14" fontId="0" fillId="0" borderId="7" xfId="0" applyNumberFormat="1" applyBorder="1"/>
    <xf numFmtId="0" fontId="0" fillId="0" borderId="7" xfId="0" applyBorder="1"/>
    <xf numFmtId="0" fontId="0" fillId="0" borderId="7" xfId="0" applyBorder="1" applyAlignment="1">
      <alignment horizontal="left"/>
    </xf>
    <xf numFmtId="165" fontId="0" fillId="0" borderId="7" xfId="1" applyNumberFormat="1" applyFont="1" applyBorder="1"/>
    <xf numFmtId="0" fontId="3" fillId="9" borderId="0" xfId="0" applyFont="1" applyFill="1" applyAlignment="1">
      <alignment horizontal="center"/>
    </xf>
    <xf numFmtId="14" fontId="3" fillId="9" borderId="0" xfId="0" applyNumberFormat="1" applyFont="1" applyFill="1" applyAlignment="1">
      <alignment horizontal="center"/>
    </xf>
    <xf numFmtId="0" fontId="0" fillId="0" borderId="9" xfId="0" applyBorder="1"/>
    <xf numFmtId="14" fontId="0" fillId="0" borderId="3" xfId="0" applyNumberFormat="1" applyBorder="1"/>
    <xf numFmtId="4" fontId="0" fillId="0" borderId="0" xfId="0" applyNumberFormat="1"/>
    <xf numFmtId="0" fontId="0" fillId="0" borderId="0" xfId="1" applyNumberFormat="1" applyFont="1"/>
    <xf numFmtId="2" fontId="0" fillId="5" borderId="4" xfId="0" applyNumberFormat="1" applyFill="1" applyBorder="1"/>
    <xf numFmtId="2" fontId="0" fillId="0" borderId="4" xfId="0" applyNumberFormat="1" applyBorder="1"/>
    <xf numFmtId="49" fontId="0" fillId="5" borderId="6" xfId="1" applyNumberFormat="1" applyFont="1" applyFill="1" applyBorder="1"/>
    <xf numFmtId="49" fontId="0" fillId="5" borderId="6" xfId="0" applyNumberFormat="1" applyFont="1" applyFill="1" applyBorder="1"/>
    <xf numFmtId="44" fontId="0" fillId="0" borderId="0" xfId="0" applyNumberFormat="1"/>
    <xf numFmtId="44" fontId="3" fillId="9" borderId="0" xfId="0" applyNumberFormat="1" applyFont="1" applyFill="1" applyAlignment="1">
      <alignment horizontal="center"/>
    </xf>
    <xf numFmtId="44" fontId="1" fillId="0" borderId="8" xfId="0" applyNumberFormat="1" applyFont="1" applyBorder="1"/>
    <xf numFmtId="44" fontId="1" fillId="0" borderId="9" xfId="0" applyNumberFormat="1" applyFont="1" applyBorder="1"/>
    <xf numFmtId="0" fontId="5" fillId="10" borderId="11" xfId="0" applyFont="1" applyFill="1" applyBorder="1" applyAlignment="1">
      <alignment horizontal="center" vertical="center"/>
    </xf>
    <xf numFmtId="0" fontId="5" fillId="10" borderId="10" xfId="0" applyFont="1" applyFill="1" applyBorder="1" applyAlignment="1">
      <alignment horizontal="center" vertical="center"/>
    </xf>
    <xf numFmtId="0" fontId="0" fillId="11" borderId="1" xfId="0" applyFill="1" applyBorder="1"/>
    <xf numFmtId="44" fontId="18" fillId="11" borderId="15" xfId="2" applyFont="1" applyFill="1" applyBorder="1" applyAlignment="1">
      <alignment vertical="center"/>
    </xf>
    <xf numFmtId="44" fontId="18" fillId="11" borderId="16" xfId="2" applyFont="1" applyFill="1" applyBorder="1" applyAlignment="1">
      <alignment vertical="center"/>
    </xf>
    <xf numFmtId="7" fontId="18" fillId="11" borderId="15" xfId="2" applyNumberFormat="1" applyFont="1" applyFill="1" applyBorder="1" applyAlignment="1">
      <alignment vertical="center"/>
    </xf>
    <xf numFmtId="7" fontId="18" fillId="11" borderId="16" xfId="2" applyNumberFormat="1" applyFont="1" applyFill="1" applyBorder="1" applyAlignment="1">
      <alignment vertical="center"/>
    </xf>
    <xf numFmtId="44" fontId="18" fillId="11" borderId="14" xfId="2" applyFont="1" applyFill="1" applyBorder="1" applyAlignment="1">
      <alignment vertical="center"/>
    </xf>
    <xf numFmtId="44" fontId="18" fillId="11" borderId="13" xfId="2" applyFont="1" applyFill="1" applyBorder="1" applyAlignment="1">
      <alignment vertical="center"/>
    </xf>
    <xf numFmtId="7" fontId="18" fillId="11" borderId="13" xfId="2" applyNumberFormat="1" applyFont="1" applyFill="1" applyBorder="1" applyAlignment="1">
      <alignment vertical="center"/>
    </xf>
    <xf numFmtId="0" fontId="0" fillId="11" borderId="1" xfId="0" applyFont="1" applyFill="1" applyBorder="1"/>
    <xf numFmtId="49" fontId="0" fillId="5" borderId="4" xfId="0" applyNumberFormat="1" applyFill="1" applyBorder="1"/>
    <xf numFmtId="164" fontId="0" fillId="5" borderId="6" xfId="1" applyFont="1" applyFill="1" applyBorder="1"/>
    <xf numFmtId="164" fontId="0" fillId="5" borderId="4" xfId="1" applyFont="1" applyFill="1" applyBorder="1"/>
    <xf numFmtId="164" fontId="0" fillId="0" borderId="4" xfId="1" applyFont="1" applyBorder="1"/>
    <xf numFmtId="44" fontId="18" fillId="11" borderId="12" xfId="2" applyFont="1" applyFill="1" applyBorder="1" applyAlignment="1">
      <alignment vertical="center"/>
    </xf>
    <xf numFmtId="44" fontId="0" fillId="0" borderId="0" xfId="2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44" fontId="1" fillId="0" borderId="0" xfId="2" applyFont="1" applyFill="1" applyBorder="1" applyAlignment="1">
      <alignment vertical="center"/>
    </xf>
    <xf numFmtId="0" fontId="1" fillId="0" borderId="0" xfId="0" applyFont="1" applyFill="1" applyBorder="1" applyAlignment="1">
      <alignment horizontal="right" vertical="center"/>
    </xf>
    <xf numFmtId="44" fontId="5" fillId="0" borderId="0" xfId="0" applyNumberFormat="1" applyFont="1" applyFill="1" applyBorder="1" applyAlignment="1">
      <alignment horizontal="center" vertical="center"/>
    </xf>
    <xf numFmtId="7" fontId="0" fillId="0" borderId="0" xfId="0" applyNumberFormat="1" applyFont="1" applyFill="1" applyBorder="1" applyAlignment="1">
      <alignment horizontal="center" vertical="center"/>
    </xf>
    <xf numFmtId="44" fontId="18" fillId="11" borderId="20" xfId="2" applyFont="1" applyFill="1" applyBorder="1" applyAlignment="1">
      <alignment vertical="center"/>
    </xf>
    <xf numFmtId="44" fontId="18" fillId="11" borderId="23" xfId="2" applyFont="1" applyFill="1" applyBorder="1" applyAlignment="1">
      <alignment vertical="center"/>
    </xf>
    <xf numFmtId="44" fontId="18" fillId="11" borderId="24" xfId="2" applyFont="1" applyFill="1" applyBorder="1" applyAlignment="1">
      <alignment vertical="center"/>
    </xf>
    <xf numFmtId="44" fontId="18" fillId="11" borderId="25" xfId="2" applyFont="1" applyFill="1" applyBorder="1" applyAlignment="1">
      <alignment vertical="center"/>
    </xf>
    <xf numFmtId="7" fontId="18" fillId="11" borderId="14" xfId="2" applyNumberFormat="1" applyFont="1" applyFill="1" applyBorder="1" applyAlignment="1">
      <alignment vertical="center"/>
    </xf>
    <xf numFmtId="7" fontId="18" fillId="11" borderId="24" xfId="2" applyNumberFormat="1" applyFont="1" applyFill="1" applyBorder="1" applyAlignment="1">
      <alignment vertical="center"/>
    </xf>
    <xf numFmtId="7" fontId="18" fillId="11" borderId="25" xfId="2" applyNumberFormat="1" applyFont="1" applyFill="1" applyBorder="1" applyAlignment="1">
      <alignment vertical="center"/>
    </xf>
    <xf numFmtId="0" fontId="0" fillId="11" borderId="22" xfId="0" applyFont="1" applyFill="1" applyBorder="1"/>
    <xf numFmtId="44" fontId="18" fillId="11" borderId="21" xfId="2" applyFont="1" applyFill="1" applyBorder="1" applyAlignment="1">
      <alignment vertical="center"/>
    </xf>
    <xf numFmtId="7" fontId="18" fillId="11" borderId="21" xfId="2" applyNumberFormat="1" applyFont="1" applyFill="1" applyBorder="1" applyAlignment="1">
      <alignment vertical="center"/>
    </xf>
    <xf numFmtId="0" fontId="0" fillId="0" borderId="0" xfId="0" applyBorder="1"/>
    <xf numFmtId="0" fontId="0" fillId="3" borderId="0" xfId="0" applyNumberFormat="1" applyFont="1" applyFill="1" applyAlignment="1">
      <alignment horizontal="left"/>
    </xf>
    <xf numFmtId="0" fontId="0" fillId="3" borderId="0" xfId="0" applyFont="1" applyFill="1"/>
    <xf numFmtId="0" fontId="0" fillId="3" borderId="0" xfId="0" applyFont="1" applyFill="1" applyAlignment="1">
      <alignment horizontal="center"/>
    </xf>
    <xf numFmtId="0" fontId="0" fillId="0" borderId="0" xfId="0" applyFont="1"/>
    <xf numFmtId="0" fontId="2" fillId="2" borderId="2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right" vertical="center"/>
    </xf>
    <xf numFmtId="0" fontId="0" fillId="3" borderId="0" xfId="0" applyFill="1" applyAlignment="1">
      <alignment horizontal="center"/>
    </xf>
    <xf numFmtId="0" fontId="14" fillId="10" borderId="18" xfId="0" applyFont="1" applyFill="1" applyBorder="1" applyAlignment="1">
      <alignment horizontal="center" vertical="center"/>
    </xf>
    <xf numFmtId="0" fontId="14" fillId="10" borderId="17" xfId="0" applyFont="1" applyFill="1" applyBorder="1" applyAlignment="1">
      <alignment horizontal="center" vertical="center"/>
    </xf>
    <xf numFmtId="0" fontId="14" fillId="10" borderId="16" xfId="0" applyFont="1" applyFill="1" applyBorder="1" applyAlignment="1">
      <alignment horizontal="center" vertical="center"/>
    </xf>
    <xf numFmtId="0" fontId="14" fillId="10" borderId="19" xfId="0" applyFont="1" applyFill="1" applyBorder="1" applyAlignment="1">
      <alignment horizontal="center" vertical="center"/>
    </xf>
  </cellXfs>
  <cellStyles count="3">
    <cellStyle name="Moneda" xfId="1" builtinId="4"/>
    <cellStyle name="Moneda 2" xfId="2" xr:uid="{8323F38B-CC6A-42F4-BD79-AD55405AF83A}"/>
    <cellStyle name="Normal" xfId="0" builtinId="0"/>
  </cellStyles>
  <dxfs count="21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4" formatCode="#,##0.00"/>
    </dxf>
    <dxf>
      <numFmt numFmtId="164" formatCode="_(&quot;$&quot;* #,##0.00_);_(&quot;$&quot;* \(#,##0.00\);_(&quot;$&quot;* &quot;-&quot;??_);_(@_)"/>
    </dxf>
    <dxf>
      <numFmt numFmtId="164" formatCode="_(&quot;$&quot;* #,##0.00_);_(&quot;$&quot;* \(#,##0.00\);_(&quot;$&quot;* &quot;-&quot;??_);_(@_)"/>
    </dxf>
    <dxf>
      <fill>
        <patternFill patternType="solid">
          <fgColor indexed="64"/>
          <bgColor rgb="FF0080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2" formatCode="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rgb="FF00808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FFFFFF"/>
      <color rgb="FF009999"/>
      <color rgb="FF008080"/>
      <color rgb="FF006666"/>
      <color rgb="FFDDFFE1"/>
      <color rgb="FF8CFE9A"/>
      <color rgb="FF00FF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104775</xdr:colOff>
      <xdr:row>7</xdr:row>
      <xdr:rowOff>13690</xdr:rowOff>
    </xdr:from>
    <xdr:to>
      <xdr:col>10</xdr:col>
      <xdr:colOff>723899</xdr:colOff>
      <xdr:row>20</xdr:row>
      <xdr:rowOff>171450</xdr:rowOff>
    </xdr:to>
    <xdr:pic>
      <xdr:nvPicPr>
        <xdr:cNvPr id="7" name="Imagen 6" descr="Conoces los beneficios de llevar una contabilidad adecuada en tu empresa? |  Colegio Fiscal de Méxic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1500" y="1442440"/>
          <a:ext cx="4429124" cy="2634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609600</xdr:colOff>
          <xdr:row>118</xdr:row>
          <xdr:rowOff>171450</xdr:rowOff>
        </xdr:from>
        <xdr:to>
          <xdr:col>11</xdr:col>
          <xdr:colOff>342900</xdr:colOff>
          <xdr:row>120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361950</xdr:colOff>
          <xdr:row>1</xdr:row>
          <xdr:rowOff>0</xdr:rowOff>
        </xdr:from>
        <xdr:to>
          <xdr:col>12</xdr:col>
          <xdr:colOff>95250</xdr:colOff>
          <xdr:row>2</xdr:row>
          <xdr:rowOff>47625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atalogo" displayName="Catalogo" ref="A1:D120" totalsRowShown="0" dataDxfId="20">
  <autoFilter ref="A1:D120" xr:uid="{00000000-0009-0000-0100-000001000000}"/>
  <tableColumns count="4">
    <tableColumn id="1" xr3:uid="{00000000-0010-0000-0000-000001000000}" name="CODIGO" dataDxfId="0"/>
    <tableColumn id="2" xr3:uid="{00000000-0010-0000-0000-000002000000}" name="NOMBRE DE LA CUENTA" dataDxfId="1"/>
    <tableColumn id="3" xr3:uid="{00000000-0010-0000-0000-000003000000}" name="GRUPO" dataDxfId="19"/>
    <tableColumn id="4" xr3:uid="{00000000-0010-0000-0000-000004000000}" name="NIVEL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Empleados" displayName="Empleados" ref="A5:D10" totalsRowShown="0" headerRowDxfId="17" headerRowBorderDxfId="16" tableBorderDxfId="15" totalsRowBorderDxfId="14">
  <autoFilter ref="A5:D10" xr:uid="{00000000-0009-0000-0100-000005000000}"/>
  <tableColumns count="4">
    <tableColumn id="1" xr3:uid="{00000000-0010-0000-0100-000001000000}" name="ID" dataDxfId="13"/>
    <tableColumn id="2" xr3:uid="{00000000-0010-0000-0100-000002000000}" name="NOMBRE" dataDxfId="12"/>
    <tableColumn id="3" xr3:uid="{00000000-0010-0000-0100-000003000000}" name="CARGO QUE DESEMPEÑA" dataDxfId="11"/>
    <tableColumn id="4" xr3:uid="{00000000-0010-0000-0100-000004000000}" name="COSTO REAL" dataDxfId="10" dataCellStyle="Moned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45" displayName="Tabla45" ref="A2:D11" totalsRowShown="0" headerRowDxfId="9">
  <autoFilter ref="A2:D11" xr:uid="{00000000-0009-0000-0100-000004000000}"/>
  <tableColumns count="4">
    <tableColumn id="1" xr3:uid="{00000000-0010-0000-0200-000001000000}" name="Prestaciones"/>
    <tableColumn id="2" xr3:uid="{00000000-0010-0000-0200-000002000000}" name="Semanal " dataDxfId="8">
      <calculatedColumnFormula>H2*7</calculatedColumnFormula>
    </tableColumn>
    <tableColumn id="3" xr3:uid="{00000000-0010-0000-0200-000003000000}" name="Diario " dataDxfId="7" dataCellStyle="Moneda">
      <calculatedColumnFormula>Tabla45[[#This Row],[Semanal ]]/52</calculatedColumnFormula>
    </tableColumn>
    <tableColumn id="4" xr3:uid="{00000000-0010-0000-0200-000004000000}" name="Hora" dataCellStyle="Mon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4131A6F-A7A1-4961-B4C3-4380D02CC35A}" name="Tabla9" displayName="Tabla9" ref="A20:B30" totalsRowShown="0">
  <autoFilter ref="A20:B30" xr:uid="{24131A6F-A7A1-4961-B4C3-4380D02CC35A}"/>
  <tableColumns count="2">
    <tableColumn id="1" xr3:uid="{967F0216-102E-417E-A5D6-60C7C83BA808}" name="CATEGORIA DE AJUSTES"/>
    <tableColumn id="2" xr3:uid="{84FCE58B-5759-4107-A20E-661974918190}" name="AJUS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CosteoProducto" displayName="CosteoProducto" ref="F5:G6" insertRow="1" totalsRowShown="0">
  <autoFilter ref="F5:G6" xr:uid="{00000000-0009-0000-0100-000002000000}"/>
  <tableColumns count="2">
    <tableColumn id="1" xr3:uid="{00000000-0010-0000-0300-000001000000}" name="Nombre del Empleado"/>
    <tableColumn id="2" xr3:uid="{00000000-0010-0000-0300-000002000000}" name="Salario por hora" dataDxfId="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CostosFijos" displayName="CostosFijos" ref="A5:B6" insertRow="1" totalsRowShown="0">
  <autoFilter ref="A5:B6" xr:uid="{00000000-0009-0000-0100-000003000000}"/>
  <tableColumns count="2">
    <tableColumn id="1" xr3:uid="{00000000-0010-0000-0400-000001000000}" name="Costo fijo"/>
    <tableColumn id="2" xr3:uid="{00000000-0010-0000-0400-000002000000}" name="Valor " dataDxfId="5"/>
  </tableColumns>
  <tableStyleInfo name="TableStyleLight9" showFirstColumn="0" showLastColumn="0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Costos" displayName="Costos" ref="I5:J12" totalsRowShown="0">
  <autoFilter ref="I5:J12" xr:uid="{00000000-0009-0000-0100-000006000000}"/>
  <tableColumns count="2">
    <tableColumn id="1" xr3:uid="{00000000-0010-0000-0500-000001000000}" name="Costos"/>
    <tableColumn id="2" xr3:uid="{00000000-0010-0000-0500-000002000000}" name="Columna1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proy" displayName="proy" ref="L5:P26" totalsRowShown="0">
  <autoFilter ref="L5:P26" xr:uid="{00000000-0009-0000-0100-000007000000}"/>
  <tableColumns count="5">
    <tableColumn id="1" xr3:uid="{00000000-0010-0000-0600-000001000000}" name="Nombre del proyecto"/>
    <tableColumn id="2" xr3:uid="{00000000-0010-0000-0600-000002000000}" name="Duracion del proyecto"/>
    <tableColumn id="3" xr3:uid="{00000000-0010-0000-0600-000003000000}" name="Mano de obra" dataDxfId="4"/>
    <tableColumn id="4" xr3:uid="{00000000-0010-0000-0600-000004000000}" name="Costos fijos" dataDxfId="3"/>
    <tableColumn id="5" xr3:uid="{00000000-0010-0000-0600-000005000000}" name="Total" dataDxfId="2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DDFFE1"/>
  </sheetPr>
  <dimension ref="A1:O27"/>
  <sheetViews>
    <sheetView showGridLines="0" tabSelected="1" workbookViewId="0">
      <selection activeCell="C3" sqref="C3:D3"/>
    </sheetView>
  </sheetViews>
  <sheetFormatPr baseColWidth="10" defaultRowHeight="15" x14ac:dyDescent="0.25"/>
  <cols>
    <col min="1" max="1" width="7.5703125" bestFit="1" customWidth="1"/>
    <col min="2" max="2" width="22.28515625" bestFit="1" customWidth="1"/>
    <col min="11" max="11" width="17.85546875" customWidth="1"/>
    <col min="12" max="12" width="13.85546875" customWidth="1"/>
  </cols>
  <sheetData>
    <row r="1" spans="1:15" x14ac:dyDescent="0.25">
      <c r="A1" s="17" t="s">
        <v>0</v>
      </c>
      <c r="B1" s="18" t="s">
        <v>1</v>
      </c>
      <c r="C1" s="10"/>
      <c r="D1" s="10"/>
      <c r="E1" s="10"/>
      <c r="F1" s="10"/>
      <c r="G1" s="10"/>
      <c r="H1" s="10"/>
      <c r="I1" s="10"/>
      <c r="J1" s="10"/>
      <c r="K1" s="123" t="s">
        <v>14</v>
      </c>
      <c r="L1" s="123"/>
      <c r="M1" s="10"/>
      <c r="N1" s="10"/>
      <c r="O1" s="10"/>
    </row>
    <row r="2" spans="1:15" ht="15" customHeight="1" x14ac:dyDescent="0.3">
      <c r="A2" s="19">
        <v>1</v>
      </c>
      <c r="B2" s="20" t="s">
        <v>2</v>
      </c>
      <c r="C2" s="48" t="s">
        <v>252</v>
      </c>
      <c r="D2" s="46"/>
      <c r="E2" s="46"/>
      <c r="F2" s="10"/>
      <c r="G2" s="10"/>
      <c r="H2" s="10"/>
      <c r="I2" s="10"/>
      <c r="J2" s="10"/>
      <c r="K2" s="11" t="s">
        <v>12</v>
      </c>
      <c r="L2" s="12" t="s">
        <v>15</v>
      </c>
      <c r="M2" s="10"/>
      <c r="N2" s="10"/>
      <c r="O2" s="10"/>
    </row>
    <row r="3" spans="1:15" ht="15" customHeight="1" x14ac:dyDescent="0.25">
      <c r="A3" s="19">
        <v>2</v>
      </c>
      <c r="B3" s="20" t="s">
        <v>3</v>
      </c>
      <c r="C3" s="124"/>
      <c r="D3" s="124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ht="15" customHeight="1" x14ac:dyDescent="0.25">
      <c r="A4" s="19">
        <v>3</v>
      </c>
      <c r="B4" s="20" t="s">
        <v>4</v>
      </c>
      <c r="C4" s="125" t="s">
        <v>53</v>
      </c>
      <c r="D4" s="125"/>
      <c r="E4" s="46" t="s">
        <v>59</v>
      </c>
      <c r="F4" s="10"/>
      <c r="G4" s="10"/>
      <c r="H4" s="10"/>
      <c r="I4" s="10"/>
      <c r="J4" s="10"/>
      <c r="K4" s="13" t="s">
        <v>13</v>
      </c>
      <c r="L4" s="14">
        <v>1500.99</v>
      </c>
      <c r="M4" s="10"/>
      <c r="N4" s="10"/>
      <c r="O4" s="10"/>
    </row>
    <row r="5" spans="1:15" ht="22.5" x14ac:dyDescent="0.25">
      <c r="A5" s="19">
        <v>4</v>
      </c>
      <c r="B5" s="52" t="s">
        <v>55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5" x14ac:dyDescent="0.25">
      <c r="A6" s="15">
        <v>5</v>
      </c>
      <c r="B6" s="16" t="s">
        <v>56</v>
      </c>
    </row>
    <row r="7" spans="1:15" x14ac:dyDescent="0.25">
      <c r="A7" s="15">
        <v>6</v>
      </c>
      <c r="B7" s="16" t="s">
        <v>57</v>
      </c>
    </row>
    <row r="8" spans="1:15" x14ac:dyDescent="0.25">
      <c r="A8" s="1"/>
    </row>
    <row r="9" spans="1:15" x14ac:dyDescent="0.25">
      <c r="F9" s="45"/>
    </row>
    <row r="22" spans="1:15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</row>
    <row r="23" spans="1:15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</row>
    <row r="24" spans="1:15" x14ac:dyDescent="0.25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</row>
    <row r="25" spans="1:15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</row>
    <row r="26" spans="1:15" x14ac:dyDescent="0.25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  <row r="27" spans="1:15" x14ac:dyDescent="0.25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</row>
  </sheetData>
  <sheetProtection algorithmName="SHA-512" hashValue="0gasdNtIfxKoaa9B1AxIwRHL2CBOhOpy8p5YC0wm6xiEIzyzGA/a3VpcdbxvNI9rIszEXR6oI6y2BtqUQHqMVA==" saltValue="qTkX9OrzXtuQV4Orvafabg==" spinCount="100000" sheet="1" objects="1" scenarios="1"/>
  <sortState xmlns:xlrd2="http://schemas.microsoft.com/office/spreadsheetml/2017/richdata2" ref="A2:B7">
    <sortCondition ref="A1"/>
  </sortState>
  <mergeCells count="3">
    <mergeCell ref="K1:L1"/>
    <mergeCell ref="C3:D3"/>
    <mergeCell ref="C4:D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/>
  </sheetPr>
  <dimension ref="A1:D134"/>
  <sheetViews>
    <sheetView showGridLines="0" topLeftCell="A29" workbookViewId="0">
      <selection activeCell="A76" sqref="A76:B77"/>
    </sheetView>
  </sheetViews>
  <sheetFormatPr baseColWidth="10" defaultRowHeight="15" x14ac:dyDescent="0.25"/>
  <cols>
    <col min="1" max="1" width="12.85546875" style="2" customWidth="1"/>
    <col min="2" max="2" width="72.7109375" customWidth="1"/>
    <col min="3" max="3" width="12.85546875" style="1" customWidth="1"/>
    <col min="4" max="4" width="12.85546875" customWidth="1"/>
    <col min="7" max="7" width="11.85546875" bestFit="1" customWidth="1"/>
  </cols>
  <sheetData>
    <row r="1" spans="1:4" ht="15.75" x14ac:dyDescent="0.25">
      <c r="A1" s="49" t="s">
        <v>58</v>
      </c>
      <c r="B1" s="50" t="s">
        <v>1</v>
      </c>
      <c r="C1" s="51" t="s">
        <v>0</v>
      </c>
      <c r="D1" s="50" t="s">
        <v>18</v>
      </c>
    </row>
    <row r="2" spans="1:4" ht="15.75" x14ac:dyDescent="0.25">
      <c r="A2" s="63">
        <v>1</v>
      </c>
      <c r="B2" s="61" t="s">
        <v>60</v>
      </c>
      <c r="C2" s="62">
        <v>1</v>
      </c>
      <c r="D2" s="61">
        <v>1</v>
      </c>
    </row>
    <row r="3" spans="1:4" ht="15.75" x14ac:dyDescent="0.25">
      <c r="A3" s="63">
        <v>11</v>
      </c>
      <c r="B3" s="61" t="s">
        <v>61</v>
      </c>
      <c r="C3" s="62">
        <v>1</v>
      </c>
      <c r="D3" s="61">
        <v>2</v>
      </c>
    </row>
    <row r="4" spans="1:4" ht="15.75" x14ac:dyDescent="0.25">
      <c r="A4" s="63">
        <v>1101</v>
      </c>
      <c r="B4" s="61" t="s">
        <v>63</v>
      </c>
      <c r="C4" s="62">
        <v>1</v>
      </c>
      <c r="D4" s="61">
        <v>3</v>
      </c>
    </row>
    <row r="5" spans="1:4" ht="15.75" x14ac:dyDescent="0.25">
      <c r="A5" s="64">
        <v>110101</v>
      </c>
      <c r="B5" s="65" t="s">
        <v>6</v>
      </c>
      <c r="C5" s="66">
        <v>1</v>
      </c>
      <c r="D5" s="65">
        <v>4</v>
      </c>
    </row>
    <row r="6" spans="1:4" ht="15.75" x14ac:dyDescent="0.25">
      <c r="A6" s="64">
        <v>110102</v>
      </c>
      <c r="B6" s="65" t="s">
        <v>165</v>
      </c>
      <c r="C6" s="66">
        <v>1</v>
      </c>
      <c r="D6" s="65">
        <v>4</v>
      </c>
    </row>
    <row r="7" spans="1:4" ht="15.75" x14ac:dyDescent="0.25">
      <c r="A7" s="63">
        <v>1102</v>
      </c>
      <c r="B7" s="61" t="s">
        <v>66</v>
      </c>
      <c r="C7" s="62">
        <v>1</v>
      </c>
      <c r="D7" s="61">
        <v>3</v>
      </c>
    </row>
    <row r="8" spans="1:4" ht="15.75" x14ac:dyDescent="0.25">
      <c r="A8" s="64">
        <v>110201</v>
      </c>
      <c r="B8" s="65" t="s">
        <v>67</v>
      </c>
      <c r="C8" s="66">
        <v>1</v>
      </c>
      <c r="D8" s="65">
        <v>4</v>
      </c>
    </row>
    <row r="9" spans="1:4" ht="15.75" x14ac:dyDescent="0.25">
      <c r="A9" s="64">
        <v>110202</v>
      </c>
      <c r="B9" s="65" t="s">
        <v>65</v>
      </c>
      <c r="C9" s="66">
        <v>1</v>
      </c>
      <c r="D9" s="65">
        <v>4</v>
      </c>
    </row>
    <row r="10" spans="1:4" ht="15.75" x14ac:dyDescent="0.25">
      <c r="A10" s="64">
        <v>110203</v>
      </c>
      <c r="B10" s="65" t="s">
        <v>254</v>
      </c>
      <c r="C10" s="66">
        <v>1</v>
      </c>
      <c r="D10" s="65">
        <v>4</v>
      </c>
    </row>
    <row r="11" spans="1:4" ht="15.75" x14ac:dyDescent="0.25">
      <c r="A11" s="63">
        <v>1103</v>
      </c>
      <c r="B11" s="61" t="s">
        <v>68</v>
      </c>
      <c r="C11" s="62">
        <v>1</v>
      </c>
      <c r="D11" s="61">
        <v>3</v>
      </c>
    </row>
    <row r="12" spans="1:4" ht="15.75" x14ac:dyDescent="0.25">
      <c r="A12" s="64">
        <v>110301</v>
      </c>
      <c r="B12" s="65" t="s">
        <v>163</v>
      </c>
      <c r="C12" s="66">
        <v>1</v>
      </c>
      <c r="D12" s="65">
        <v>4</v>
      </c>
    </row>
    <row r="13" spans="1:4" ht="15.75" x14ac:dyDescent="0.25">
      <c r="A13" s="63">
        <v>1104</v>
      </c>
      <c r="B13" s="61" t="s">
        <v>161</v>
      </c>
      <c r="C13" s="62">
        <v>1</v>
      </c>
      <c r="D13" s="61">
        <v>3</v>
      </c>
    </row>
    <row r="14" spans="1:4" ht="15.75" x14ac:dyDescent="0.25">
      <c r="A14" s="63">
        <v>1105</v>
      </c>
      <c r="B14" s="61" t="s">
        <v>69</v>
      </c>
      <c r="C14" s="62">
        <v>1</v>
      </c>
      <c r="D14" s="61">
        <v>3</v>
      </c>
    </row>
    <row r="15" spans="1:4" ht="15.75" x14ac:dyDescent="0.25">
      <c r="A15" s="64">
        <v>110501</v>
      </c>
      <c r="B15" s="65" t="s">
        <v>251</v>
      </c>
      <c r="C15" s="66">
        <v>1</v>
      </c>
      <c r="D15" s="65">
        <v>4</v>
      </c>
    </row>
    <row r="16" spans="1:4" ht="15.75" x14ac:dyDescent="0.25">
      <c r="A16" s="63">
        <v>1106</v>
      </c>
      <c r="B16" s="61" t="s">
        <v>70</v>
      </c>
      <c r="C16" s="62">
        <v>1</v>
      </c>
      <c r="D16" s="61">
        <v>3</v>
      </c>
    </row>
    <row r="17" spans="1:4" ht="15.75" x14ac:dyDescent="0.25">
      <c r="A17" s="64">
        <v>110601</v>
      </c>
      <c r="B17" s="65" t="s">
        <v>71</v>
      </c>
      <c r="C17" s="66">
        <v>1</v>
      </c>
      <c r="D17" s="65">
        <v>4</v>
      </c>
    </row>
    <row r="18" spans="1:4" ht="15.75" x14ac:dyDescent="0.25">
      <c r="A18" s="64">
        <v>110602</v>
      </c>
      <c r="B18" s="65" t="s">
        <v>72</v>
      </c>
      <c r="C18" s="66">
        <v>1</v>
      </c>
      <c r="D18" s="65">
        <v>4</v>
      </c>
    </row>
    <row r="19" spans="1:4" ht="15.75" x14ac:dyDescent="0.25">
      <c r="A19" s="64">
        <v>110603</v>
      </c>
      <c r="B19" s="65" t="s">
        <v>73</v>
      </c>
      <c r="C19" s="66">
        <v>1</v>
      </c>
      <c r="D19" s="65">
        <v>4</v>
      </c>
    </row>
    <row r="20" spans="1:4" ht="15.75" x14ac:dyDescent="0.25">
      <c r="A20" s="64">
        <v>110604</v>
      </c>
      <c r="B20" s="65" t="s">
        <v>74</v>
      </c>
      <c r="C20" s="66">
        <v>1</v>
      </c>
      <c r="D20" s="65">
        <v>4</v>
      </c>
    </row>
    <row r="21" spans="1:4" ht="15.75" x14ac:dyDescent="0.25">
      <c r="A21" s="64">
        <v>110605</v>
      </c>
      <c r="B21" s="65" t="s">
        <v>75</v>
      </c>
      <c r="C21" s="66">
        <v>1</v>
      </c>
      <c r="D21" s="65">
        <v>4</v>
      </c>
    </row>
    <row r="22" spans="1:4" ht="15.75" x14ac:dyDescent="0.25">
      <c r="A22" s="63">
        <v>1107</v>
      </c>
      <c r="B22" s="61" t="s">
        <v>76</v>
      </c>
      <c r="C22" s="62">
        <v>1</v>
      </c>
      <c r="D22" s="61">
        <v>3</v>
      </c>
    </row>
    <row r="23" spans="1:4" ht="15.75" x14ac:dyDescent="0.25">
      <c r="A23" s="64">
        <v>110701</v>
      </c>
      <c r="B23" s="65" t="s">
        <v>76</v>
      </c>
      <c r="C23" s="66">
        <v>1</v>
      </c>
      <c r="D23" s="65">
        <v>4</v>
      </c>
    </row>
    <row r="24" spans="1:4" ht="15.75" x14ac:dyDescent="0.25">
      <c r="A24" s="63">
        <v>12</v>
      </c>
      <c r="B24" s="61" t="s">
        <v>77</v>
      </c>
      <c r="C24" s="62">
        <v>1</v>
      </c>
      <c r="D24" s="61">
        <v>2</v>
      </c>
    </row>
    <row r="25" spans="1:4" ht="15.75" x14ac:dyDescent="0.25">
      <c r="A25" s="63">
        <v>1201</v>
      </c>
      <c r="B25" s="61" t="s">
        <v>78</v>
      </c>
      <c r="C25" s="62">
        <v>1</v>
      </c>
      <c r="D25" s="61">
        <v>3</v>
      </c>
    </row>
    <row r="26" spans="1:4" ht="15.75" x14ac:dyDescent="0.25">
      <c r="A26" s="64">
        <v>120101</v>
      </c>
      <c r="B26" s="65" t="s">
        <v>79</v>
      </c>
      <c r="C26" s="66">
        <v>1</v>
      </c>
      <c r="D26" s="65">
        <v>4</v>
      </c>
    </row>
    <row r="27" spans="1:4" ht="15.75" x14ac:dyDescent="0.25">
      <c r="A27" s="64">
        <v>120102</v>
      </c>
      <c r="B27" s="65" t="s">
        <v>80</v>
      </c>
      <c r="C27" s="66">
        <v>1</v>
      </c>
      <c r="D27" s="65">
        <v>4</v>
      </c>
    </row>
    <row r="28" spans="1:4" ht="15.75" x14ac:dyDescent="0.25">
      <c r="A28" s="64">
        <v>120103</v>
      </c>
      <c r="B28" s="65" t="s">
        <v>81</v>
      </c>
      <c r="C28" s="66">
        <v>1</v>
      </c>
      <c r="D28" s="65">
        <v>4</v>
      </c>
    </row>
    <row r="29" spans="1:4" ht="15.75" x14ac:dyDescent="0.25">
      <c r="A29" s="64">
        <v>120104</v>
      </c>
      <c r="B29" s="65" t="s">
        <v>82</v>
      </c>
      <c r="C29" s="66">
        <v>1</v>
      </c>
      <c r="D29" s="65">
        <v>4</v>
      </c>
    </row>
    <row r="30" spans="1:4" ht="15.75" x14ac:dyDescent="0.25">
      <c r="A30" s="64">
        <v>120105</v>
      </c>
      <c r="B30" s="65" t="s">
        <v>83</v>
      </c>
      <c r="C30" s="66">
        <v>1</v>
      </c>
      <c r="D30" s="65">
        <v>4</v>
      </c>
    </row>
    <row r="31" spans="1:4" ht="15.75" x14ac:dyDescent="0.25">
      <c r="A31" s="63">
        <v>1202</v>
      </c>
      <c r="B31" s="61" t="s">
        <v>84</v>
      </c>
      <c r="C31" s="62">
        <v>1</v>
      </c>
      <c r="D31" s="61">
        <v>3</v>
      </c>
    </row>
    <row r="32" spans="1:4" ht="15.75" x14ac:dyDescent="0.25">
      <c r="A32" s="64">
        <v>120201</v>
      </c>
      <c r="B32" s="65" t="s">
        <v>85</v>
      </c>
      <c r="C32" s="66">
        <v>1</v>
      </c>
      <c r="D32" s="65">
        <v>4</v>
      </c>
    </row>
    <row r="33" spans="1:4" ht="15.75" x14ac:dyDescent="0.25">
      <c r="A33" s="64">
        <v>120202</v>
      </c>
      <c r="B33" s="65" t="s">
        <v>87</v>
      </c>
      <c r="C33" s="66">
        <v>1</v>
      </c>
      <c r="D33" s="65">
        <v>4</v>
      </c>
    </row>
    <row r="34" spans="1:4" ht="15.75" x14ac:dyDescent="0.25">
      <c r="A34" s="64">
        <v>120203</v>
      </c>
      <c r="B34" s="65" t="s">
        <v>86</v>
      </c>
      <c r="C34" s="66">
        <v>1</v>
      </c>
      <c r="D34" s="65">
        <v>4</v>
      </c>
    </row>
    <row r="35" spans="1:4" ht="15.75" x14ac:dyDescent="0.25">
      <c r="A35" s="63">
        <v>1203</v>
      </c>
      <c r="B35" s="61" t="s">
        <v>88</v>
      </c>
      <c r="C35" s="62">
        <v>1</v>
      </c>
      <c r="D35" s="61">
        <v>3</v>
      </c>
    </row>
    <row r="36" spans="1:4" ht="15.75" x14ac:dyDescent="0.25">
      <c r="A36" s="63">
        <v>1204</v>
      </c>
      <c r="B36" s="61" t="s">
        <v>89</v>
      </c>
      <c r="C36" s="62">
        <v>1</v>
      </c>
      <c r="D36" s="61">
        <v>3</v>
      </c>
    </row>
    <row r="37" spans="1:4" ht="15.75" x14ac:dyDescent="0.25">
      <c r="A37" s="64">
        <v>120401</v>
      </c>
      <c r="B37" s="65" t="s">
        <v>90</v>
      </c>
      <c r="C37" s="66">
        <v>1</v>
      </c>
      <c r="D37" s="65">
        <v>4</v>
      </c>
    </row>
    <row r="38" spans="1:4" ht="15.75" x14ac:dyDescent="0.25">
      <c r="A38" s="64">
        <v>120402</v>
      </c>
      <c r="B38" s="65" t="s">
        <v>91</v>
      </c>
      <c r="C38" s="66">
        <v>1</v>
      </c>
      <c r="D38" s="65">
        <v>4</v>
      </c>
    </row>
    <row r="39" spans="1:4" ht="15.75" x14ac:dyDescent="0.25">
      <c r="A39" s="64">
        <v>120403</v>
      </c>
      <c r="B39" s="65" t="s">
        <v>92</v>
      </c>
      <c r="C39" s="66">
        <v>1</v>
      </c>
      <c r="D39" s="65">
        <v>4</v>
      </c>
    </row>
    <row r="40" spans="1:4" ht="15.75" x14ac:dyDescent="0.25">
      <c r="A40" s="64">
        <v>120404</v>
      </c>
      <c r="B40" s="65" t="s">
        <v>93</v>
      </c>
      <c r="C40" s="66">
        <v>1</v>
      </c>
      <c r="D40" s="65">
        <v>4</v>
      </c>
    </row>
    <row r="41" spans="1:4" ht="15.75" x14ac:dyDescent="0.25">
      <c r="A41" s="64">
        <v>120405</v>
      </c>
      <c r="B41" s="65" t="s">
        <v>94</v>
      </c>
      <c r="C41" s="66">
        <v>1</v>
      </c>
      <c r="D41" s="65">
        <v>4</v>
      </c>
    </row>
    <row r="42" spans="1:4" ht="15.75" x14ac:dyDescent="0.25">
      <c r="A42" s="63">
        <v>2</v>
      </c>
      <c r="B42" s="61" t="s">
        <v>62</v>
      </c>
      <c r="C42" s="62">
        <v>2</v>
      </c>
      <c r="D42" s="61">
        <v>1</v>
      </c>
    </row>
    <row r="43" spans="1:4" ht="15.75" x14ac:dyDescent="0.25">
      <c r="A43" s="63">
        <v>21</v>
      </c>
      <c r="B43" s="61" t="s">
        <v>64</v>
      </c>
      <c r="C43" s="62">
        <v>2</v>
      </c>
      <c r="D43" s="61">
        <v>2</v>
      </c>
    </row>
    <row r="44" spans="1:4" ht="15.75" x14ac:dyDescent="0.25">
      <c r="A44" s="63">
        <v>2101</v>
      </c>
      <c r="B44" s="61" t="s">
        <v>261</v>
      </c>
      <c r="C44" s="62">
        <v>2</v>
      </c>
      <c r="D44" s="61">
        <v>2</v>
      </c>
    </row>
    <row r="45" spans="1:4" ht="15.75" x14ac:dyDescent="0.25">
      <c r="A45" s="64">
        <v>210101</v>
      </c>
      <c r="B45" s="65" t="s">
        <v>255</v>
      </c>
      <c r="C45" s="66">
        <v>2</v>
      </c>
      <c r="D45" s="65">
        <v>4</v>
      </c>
    </row>
    <row r="46" spans="1:4" ht="15.75" x14ac:dyDescent="0.25">
      <c r="A46" s="64">
        <v>210102</v>
      </c>
      <c r="B46" s="65" t="s">
        <v>256</v>
      </c>
      <c r="C46" s="66">
        <v>2</v>
      </c>
      <c r="D46" s="65">
        <v>4</v>
      </c>
    </row>
    <row r="47" spans="1:4" ht="15.75" x14ac:dyDescent="0.25">
      <c r="A47" s="63">
        <v>2102</v>
      </c>
      <c r="B47" s="61" t="s">
        <v>99</v>
      </c>
      <c r="C47" s="62">
        <v>2</v>
      </c>
      <c r="D47" s="61">
        <v>3</v>
      </c>
    </row>
    <row r="48" spans="1:4" ht="15.75" x14ac:dyDescent="0.25">
      <c r="A48" s="64">
        <v>210201</v>
      </c>
      <c r="B48" s="65" t="s">
        <v>257</v>
      </c>
      <c r="C48" s="66">
        <v>2</v>
      </c>
      <c r="D48" s="65">
        <v>4</v>
      </c>
    </row>
    <row r="49" spans="1:4" ht="15.75" x14ac:dyDescent="0.25">
      <c r="A49" s="63">
        <v>2103</v>
      </c>
      <c r="B49" s="61" t="s">
        <v>95</v>
      </c>
      <c r="C49" s="62">
        <v>2</v>
      </c>
      <c r="D49" s="61">
        <v>3</v>
      </c>
    </row>
    <row r="50" spans="1:4" ht="15.75" x14ac:dyDescent="0.25">
      <c r="A50" s="64">
        <v>210301</v>
      </c>
      <c r="B50" s="65" t="s">
        <v>96</v>
      </c>
      <c r="C50" s="66">
        <v>2</v>
      </c>
      <c r="D50" s="65">
        <v>4</v>
      </c>
    </row>
    <row r="51" spans="1:4" ht="15.75" x14ac:dyDescent="0.25">
      <c r="A51" s="64">
        <v>210302</v>
      </c>
      <c r="B51" s="65" t="s">
        <v>97</v>
      </c>
      <c r="C51" s="66">
        <v>2</v>
      </c>
      <c r="D51" s="65">
        <v>4</v>
      </c>
    </row>
    <row r="52" spans="1:4" ht="15.75" x14ac:dyDescent="0.25">
      <c r="A52" s="64">
        <v>210303</v>
      </c>
      <c r="B52" s="65" t="s">
        <v>98</v>
      </c>
      <c r="C52" s="66">
        <v>2</v>
      </c>
      <c r="D52" s="65">
        <v>4</v>
      </c>
    </row>
    <row r="53" spans="1:4" ht="15.75" x14ac:dyDescent="0.25">
      <c r="A53" s="64">
        <v>210304</v>
      </c>
      <c r="B53" s="65" t="s">
        <v>258</v>
      </c>
      <c r="C53" s="66">
        <v>2</v>
      </c>
      <c r="D53" s="65">
        <v>4</v>
      </c>
    </row>
    <row r="54" spans="1:4" ht="15.75" x14ac:dyDescent="0.25">
      <c r="A54" s="63">
        <v>2104</v>
      </c>
      <c r="B54" s="61" t="s">
        <v>100</v>
      </c>
      <c r="C54" s="62">
        <v>2</v>
      </c>
      <c r="D54" s="61">
        <v>3</v>
      </c>
    </row>
    <row r="55" spans="1:4" ht="15.75" x14ac:dyDescent="0.25">
      <c r="A55" s="64">
        <v>210401</v>
      </c>
      <c r="B55" s="65" t="s">
        <v>101</v>
      </c>
      <c r="C55" s="66">
        <v>2</v>
      </c>
      <c r="D55" s="65">
        <v>4</v>
      </c>
    </row>
    <row r="56" spans="1:4" ht="15.75" x14ac:dyDescent="0.25">
      <c r="A56" s="64">
        <v>210402</v>
      </c>
      <c r="B56" s="65" t="s">
        <v>102</v>
      </c>
      <c r="C56" s="66">
        <v>2</v>
      </c>
      <c r="D56" s="65">
        <v>4</v>
      </c>
    </row>
    <row r="57" spans="1:4" ht="15.75" x14ac:dyDescent="0.25">
      <c r="A57" s="64">
        <v>210403</v>
      </c>
      <c r="B57" s="65" t="s">
        <v>103</v>
      </c>
      <c r="C57" s="66">
        <v>2</v>
      </c>
      <c r="D57" s="65">
        <v>4</v>
      </c>
    </row>
    <row r="58" spans="1:4" ht="15.75" x14ac:dyDescent="0.25">
      <c r="A58" s="64">
        <v>210404</v>
      </c>
      <c r="B58" s="65" t="s">
        <v>104</v>
      </c>
      <c r="C58" s="66">
        <v>2</v>
      </c>
      <c r="D58" s="65">
        <v>4</v>
      </c>
    </row>
    <row r="59" spans="1:4" ht="15.75" x14ac:dyDescent="0.25">
      <c r="A59" s="63">
        <v>2105</v>
      </c>
      <c r="B59" s="61" t="s">
        <v>105</v>
      </c>
      <c r="C59" s="62">
        <v>2</v>
      </c>
      <c r="D59" s="61">
        <v>3</v>
      </c>
    </row>
    <row r="60" spans="1:4" ht="15.75" x14ac:dyDescent="0.25">
      <c r="A60" s="64">
        <v>210501</v>
      </c>
      <c r="B60" s="65" t="s">
        <v>106</v>
      </c>
      <c r="C60" s="66">
        <v>2</v>
      </c>
      <c r="D60" s="65">
        <v>4</v>
      </c>
    </row>
    <row r="61" spans="1:4" ht="15.75" x14ac:dyDescent="0.25">
      <c r="A61" s="64">
        <v>210502</v>
      </c>
      <c r="B61" s="65" t="s">
        <v>107</v>
      </c>
      <c r="C61" s="66">
        <v>2</v>
      </c>
      <c r="D61" s="65">
        <v>4</v>
      </c>
    </row>
    <row r="62" spans="1:4" ht="15.75" x14ac:dyDescent="0.25">
      <c r="A62" s="64">
        <v>210503</v>
      </c>
      <c r="B62" s="65" t="s">
        <v>108</v>
      </c>
      <c r="C62" s="66">
        <v>2</v>
      </c>
      <c r="D62" s="65">
        <v>4</v>
      </c>
    </row>
    <row r="63" spans="1:4" ht="15.75" x14ac:dyDescent="0.25">
      <c r="A63" s="63">
        <v>2106</v>
      </c>
      <c r="B63" s="61" t="s">
        <v>109</v>
      </c>
      <c r="C63" s="62">
        <v>2</v>
      </c>
      <c r="D63" s="61">
        <v>3</v>
      </c>
    </row>
    <row r="64" spans="1:4" ht="15.75" x14ac:dyDescent="0.25">
      <c r="A64" s="63">
        <v>22</v>
      </c>
      <c r="B64" s="61" t="s">
        <v>110</v>
      </c>
      <c r="C64" s="62">
        <v>2</v>
      </c>
      <c r="D64" s="61">
        <v>2</v>
      </c>
    </row>
    <row r="65" spans="1:4" ht="15.75" x14ac:dyDescent="0.25">
      <c r="A65" s="63">
        <v>2201</v>
      </c>
      <c r="B65" s="61" t="s">
        <v>111</v>
      </c>
      <c r="C65" s="62">
        <v>2</v>
      </c>
      <c r="D65" s="61">
        <v>3</v>
      </c>
    </row>
    <row r="66" spans="1:4" ht="15.75" x14ac:dyDescent="0.25">
      <c r="A66" s="64">
        <v>220101</v>
      </c>
      <c r="B66" s="65" t="s">
        <v>256</v>
      </c>
      <c r="C66" s="66">
        <v>2</v>
      </c>
      <c r="D66" s="65">
        <v>4</v>
      </c>
    </row>
    <row r="67" spans="1:4" ht="15.75" x14ac:dyDescent="0.25">
      <c r="A67" s="64">
        <v>220102</v>
      </c>
      <c r="B67" s="65" t="s">
        <v>259</v>
      </c>
      <c r="C67" s="66">
        <v>2</v>
      </c>
      <c r="D67" s="65">
        <v>4</v>
      </c>
    </row>
    <row r="68" spans="1:4" ht="15.75" x14ac:dyDescent="0.25">
      <c r="A68" s="63">
        <v>2202</v>
      </c>
      <c r="B68" s="61" t="s">
        <v>112</v>
      </c>
      <c r="C68" s="62">
        <v>2</v>
      </c>
      <c r="D68" s="61">
        <v>3</v>
      </c>
    </row>
    <row r="69" spans="1:4" ht="15.75" x14ac:dyDescent="0.25">
      <c r="A69" s="63">
        <v>2203</v>
      </c>
      <c r="B69" s="61" t="s">
        <v>113</v>
      </c>
      <c r="C69" s="62">
        <v>2</v>
      </c>
      <c r="D69" s="61">
        <v>3</v>
      </c>
    </row>
    <row r="70" spans="1:4" ht="15.75" x14ac:dyDescent="0.25">
      <c r="A70" s="63">
        <v>3</v>
      </c>
      <c r="B70" s="61" t="s">
        <v>4</v>
      </c>
      <c r="C70" s="62">
        <v>3</v>
      </c>
      <c r="D70" s="61">
        <v>1</v>
      </c>
    </row>
    <row r="71" spans="1:4" ht="15.75" x14ac:dyDescent="0.25">
      <c r="A71" s="63">
        <v>31</v>
      </c>
      <c r="B71" s="61" t="s">
        <v>114</v>
      </c>
      <c r="C71" s="62">
        <v>3</v>
      </c>
      <c r="D71" s="61">
        <v>2</v>
      </c>
    </row>
    <row r="72" spans="1:4" ht="15.75" x14ac:dyDescent="0.25">
      <c r="A72" s="63">
        <v>3101</v>
      </c>
      <c r="B72" s="61" t="s">
        <v>115</v>
      </c>
      <c r="C72" s="62">
        <v>3</v>
      </c>
      <c r="D72" s="61">
        <v>3</v>
      </c>
    </row>
    <row r="73" spans="1:4" ht="15.75" x14ac:dyDescent="0.25">
      <c r="A73" s="64">
        <v>310101</v>
      </c>
      <c r="B73" s="65" t="s">
        <v>164</v>
      </c>
      <c r="C73" s="66">
        <v>3</v>
      </c>
      <c r="D73" s="65">
        <v>4</v>
      </c>
    </row>
    <row r="74" spans="1:4" ht="15.75" x14ac:dyDescent="0.25">
      <c r="A74" s="63">
        <v>3102</v>
      </c>
      <c r="B74" s="61" t="s">
        <v>116</v>
      </c>
      <c r="C74" s="62">
        <v>3</v>
      </c>
      <c r="D74" s="61">
        <v>3</v>
      </c>
    </row>
    <row r="75" spans="1:4" ht="15.75" x14ac:dyDescent="0.25">
      <c r="A75" s="63">
        <v>32</v>
      </c>
      <c r="B75" s="61" t="s">
        <v>117</v>
      </c>
      <c r="C75" s="62">
        <v>3</v>
      </c>
      <c r="D75" s="61">
        <v>2</v>
      </c>
    </row>
    <row r="76" spans="1:4" ht="15.75" x14ac:dyDescent="0.25">
      <c r="A76" s="63">
        <v>3201</v>
      </c>
      <c r="B76" s="61" t="s">
        <v>118</v>
      </c>
      <c r="C76" s="62">
        <v>3</v>
      </c>
      <c r="D76" s="61">
        <v>3</v>
      </c>
    </row>
    <row r="77" spans="1:4" ht="15.75" x14ac:dyDescent="0.25">
      <c r="A77" s="63">
        <v>3202</v>
      </c>
      <c r="B77" s="61" t="s">
        <v>119</v>
      </c>
      <c r="C77" s="62">
        <v>3</v>
      </c>
      <c r="D77" s="61">
        <v>3</v>
      </c>
    </row>
    <row r="78" spans="1:4" ht="15.75" x14ac:dyDescent="0.25">
      <c r="A78" s="63">
        <v>4</v>
      </c>
      <c r="B78" s="61" t="s">
        <v>55</v>
      </c>
      <c r="C78" s="62">
        <v>4</v>
      </c>
      <c r="D78" s="61">
        <v>1</v>
      </c>
    </row>
    <row r="79" spans="1:4" ht="15.75" x14ac:dyDescent="0.25">
      <c r="A79" s="63">
        <v>41</v>
      </c>
      <c r="B79" s="61" t="s">
        <v>120</v>
      </c>
      <c r="C79" s="62">
        <v>4</v>
      </c>
      <c r="D79" s="61">
        <v>2</v>
      </c>
    </row>
    <row r="80" spans="1:4" ht="15.75" x14ac:dyDescent="0.25">
      <c r="A80" s="63">
        <v>4101</v>
      </c>
      <c r="B80" s="61" t="s">
        <v>121</v>
      </c>
      <c r="C80" s="62">
        <v>4</v>
      </c>
      <c r="D80" s="61">
        <v>3</v>
      </c>
    </row>
    <row r="81" spans="1:4" ht="15.75" x14ac:dyDescent="0.25">
      <c r="A81" s="64">
        <v>410101</v>
      </c>
      <c r="B81" s="65" t="s">
        <v>122</v>
      </c>
      <c r="C81" s="66">
        <v>4</v>
      </c>
      <c r="D81" s="65">
        <v>4</v>
      </c>
    </row>
    <row r="82" spans="1:4" ht="15.75" x14ac:dyDescent="0.25">
      <c r="A82" s="63">
        <v>4102</v>
      </c>
      <c r="B82" s="61" t="s">
        <v>123</v>
      </c>
      <c r="C82" s="62">
        <v>4</v>
      </c>
      <c r="D82" s="61">
        <v>3</v>
      </c>
    </row>
    <row r="83" spans="1:4" ht="15.75" x14ac:dyDescent="0.25">
      <c r="A83" s="64">
        <v>410201</v>
      </c>
      <c r="B83" s="65" t="s">
        <v>124</v>
      </c>
      <c r="C83" s="66">
        <v>4</v>
      </c>
      <c r="D83" s="65">
        <v>4</v>
      </c>
    </row>
    <row r="84" spans="1:4" ht="15.75" x14ac:dyDescent="0.25">
      <c r="A84" s="63">
        <v>4103</v>
      </c>
      <c r="B84" s="61" t="s">
        <v>125</v>
      </c>
      <c r="C84" s="62">
        <v>4</v>
      </c>
      <c r="D84" s="61">
        <v>3</v>
      </c>
    </row>
    <row r="85" spans="1:4" ht="15.75" x14ac:dyDescent="0.25">
      <c r="A85" s="64">
        <v>410301</v>
      </c>
      <c r="B85" s="65" t="s">
        <v>126</v>
      </c>
      <c r="C85" s="66">
        <v>4</v>
      </c>
      <c r="D85" s="65">
        <v>4</v>
      </c>
    </row>
    <row r="86" spans="1:4" ht="15.75" x14ac:dyDescent="0.25">
      <c r="A86" s="64">
        <v>410302</v>
      </c>
      <c r="B86" s="65" t="s">
        <v>127</v>
      </c>
      <c r="C86" s="66">
        <v>4</v>
      </c>
      <c r="D86" s="65">
        <v>4</v>
      </c>
    </row>
    <row r="87" spans="1:4" ht="15.75" x14ac:dyDescent="0.25">
      <c r="A87" s="64">
        <v>410303</v>
      </c>
      <c r="B87" s="65" t="s">
        <v>128</v>
      </c>
      <c r="C87" s="66">
        <v>4</v>
      </c>
      <c r="D87" s="65">
        <v>4</v>
      </c>
    </row>
    <row r="88" spans="1:4" ht="15.75" x14ac:dyDescent="0.25">
      <c r="A88" s="64">
        <v>410304</v>
      </c>
      <c r="B88" s="65" t="s">
        <v>129</v>
      </c>
      <c r="C88" s="66">
        <v>4</v>
      </c>
      <c r="D88" s="65">
        <v>4</v>
      </c>
    </row>
    <row r="89" spans="1:4" ht="15.75" x14ac:dyDescent="0.25">
      <c r="A89" s="64">
        <v>410305</v>
      </c>
      <c r="B89" s="65" t="s">
        <v>130</v>
      </c>
      <c r="C89" s="66">
        <v>4</v>
      </c>
      <c r="D89" s="65">
        <v>4</v>
      </c>
    </row>
    <row r="90" spans="1:4" ht="15.75" x14ac:dyDescent="0.25">
      <c r="A90" s="63">
        <v>4104</v>
      </c>
      <c r="B90" s="61" t="s">
        <v>131</v>
      </c>
      <c r="C90" s="62">
        <v>4</v>
      </c>
      <c r="D90" s="61">
        <v>3</v>
      </c>
    </row>
    <row r="91" spans="1:4" ht="15.75" x14ac:dyDescent="0.25">
      <c r="A91" s="64">
        <v>410401</v>
      </c>
      <c r="B91" s="65" t="s">
        <v>132</v>
      </c>
      <c r="C91" s="66">
        <v>4</v>
      </c>
      <c r="D91" s="65">
        <v>4</v>
      </c>
    </row>
    <row r="92" spans="1:4" ht="15.75" x14ac:dyDescent="0.25">
      <c r="A92" s="64">
        <v>410402</v>
      </c>
      <c r="B92" s="65" t="s">
        <v>134</v>
      </c>
      <c r="C92" s="66">
        <v>4</v>
      </c>
      <c r="D92" s="65">
        <v>4</v>
      </c>
    </row>
    <row r="93" spans="1:4" ht="15.75" x14ac:dyDescent="0.25">
      <c r="A93" s="64">
        <v>410403</v>
      </c>
      <c r="B93" s="65" t="s">
        <v>135</v>
      </c>
      <c r="C93" s="66">
        <v>4</v>
      </c>
      <c r="D93" s="65">
        <v>4</v>
      </c>
    </row>
    <row r="94" spans="1:4" ht="15.75" x14ac:dyDescent="0.25">
      <c r="A94" s="64">
        <v>410404</v>
      </c>
      <c r="B94" s="65" t="s">
        <v>136</v>
      </c>
      <c r="C94" s="66">
        <v>4</v>
      </c>
      <c r="D94" s="65">
        <v>4</v>
      </c>
    </row>
    <row r="95" spans="1:4" ht="15.75" x14ac:dyDescent="0.25">
      <c r="A95" s="64">
        <v>410405</v>
      </c>
      <c r="B95" s="65" t="s">
        <v>137</v>
      </c>
      <c r="C95" s="66">
        <v>4</v>
      </c>
      <c r="D95" s="65">
        <v>4</v>
      </c>
    </row>
    <row r="96" spans="1:4" ht="15.75" x14ac:dyDescent="0.25">
      <c r="A96" s="64">
        <v>410406</v>
      </c>
      <c r="B96" s="65" t="s">
        <v>138</v>
      </c>
      <c r="C96" s="66">
        <v>4</v>
      </c>
      <c r="D96" s="65">
        <v>4</v>
      </c>
    </row>
    <row r="97" spans="1:4" ht="15.75" x14ac:dyDescent="0.25">
      <c r="A97" s="63">
        <v>4105</v>
      </c>
      <c r="B97" s="61" t="s">
        <v>133</v>
      </c>
      <c r="C97" s="62">
        <v>4</v>
      </c>
      <c r="D97" s="61">
        <v>3</v>
      </c>
    </row>
    <row r="98" spans="1:4" ht="15.75" x14ac:dyDescent="0.25">
      <c r="A98" s="63">
        <v>4106</v>
      </c>
      <c r="B98" s="61" t="s">
        <v>139</v>
      </c>
      <c r="C98" s="62">
        <v>4</v>
      </c>
      <c r="D98" s="61">
        <v>3</v>
      </c>
    </row>
    <row r="99" spans="1:4" ht="15.75" x14ac:dyDescent="0.25">
      <c r="A99" s="63">
        <v>4107</v>
      </c>
      <c r="B99" s="61" t="s">
        <v>140</v>
      </c>
      <c r="C99" s="62">
        <v>4</v>
      </c>
      <c r="D99" s="61">
        <v>3</v>
      </c>
    </row>
    <row r="100" spans="1:4" ht="15.75" x14ac:dyDescent="0.25">
      <c r="A100" s="64">
        <v>410701</v>
      </c>
      <c r="B100" s="65" t="s">
        <v>141</v>
      </c>
      <c r="C100" s="66">
        <v>4</v>
      </c>
      <c r="D100" s="65">
        <v>4</v>
      </c>
    </row>
    <row r="101" spans="1:4" ht="15.75" x14ac:dyDescent="0.25">
      <c r="A101" s="64">
        <v>410702</v>
      </c>
      <c r="B101" s="65" t="s">
        <v>142</v>
      </c>
      <c r="C101" s="66">
        <v>4</v>
      </c>
      <c r="D101" s="65">
        <v>4</v>
      </c>
    </row>
    <row r="102" spans="1:4" ht="15.75" x14ac:dyDescent="0.25">
      <c r="A102" s="64">
        <v>410703</v>
      </c>
      <c r="B102" s="65" t="s">
        <v>143</v>
      </c>
      <c r="C102" s="66">
        <v>4</v>
      </c>
      <c r="D102" s="65">
        <v>4</v>
      </c>
    </row>
    <row r="103" spans="1:4" ht="15.75" x14ac:dyDescent="0.25">
      <c r="A103" s="63">
        <v>42</v>
      </c>
      <c r="B103" s="61" t="s">
        <v>144</v>
      </c>
      <c r="C103" s="62">
        <v>4</v>
      </c>
      <c r="D103" s="61">
        <v>2</v>
      </c>
    </row>
    <row r="104" spans="1:4" ht="15.75" x14ac:dyDescent="0.25">
      <c r="A104" s="63">
        <v>4201</v>
      </c>
      <c r="B104" s="61" t="s">
        <v>145</v>
      </c>
      <c r="C104" s="62">
        <v>4</v>
      </c>
      <c r="D104" s="61">
        <v>3</v>
      </c>
    </row>
    <row r="105" spans="1:4" ht="15.75" x14ac:dyDescent="0.25">
      <c r="A105" s="64">
        <v>420101</v>
      </c>
      <c r="B105" s="65" t="s">
        <v>146</v>
      </c>
      <c r="C105" s="66">
        <v>4</v>
      </c>
      <c r="D105" s="65">
        <v>4</v>
      </c>
    </row>
    <row r="106" spans="1:4" ht="15.75" x14ac:dyDescent="0.25">
      <c r="A106" s="63">
        <v>4202</v>
      </c>
      <c r="B106" s="61" t="s">
        <v>148</v>
      </c>
      <c r="C106" s="62">
        <v>4</v>
      </c>
      <c r="D106" s="61">
        <v>3</v>
      </c>
    </row>
    <row r="107" spans="1:4" ht="15.75" x14ac:dyDescent="0.25">
      <c r="A107" s="63">
        <v>4203</v>
      </c>
      <c r="B107" s="61" t="s">
        <v>147</v>
      </c>
      <c r="C107" s="62">
        <v>4</v>
      </c>
      <c r="D107" s="61">
        <v>3</v>
      </c>
    </row>
    <row r="108" spans="1:4" ht="15.75" x14ac:dyDescent="0.25">
      <c r="A108" s="63">
        <v>4204</v>
      </c>
      <c r="B108" s="61" t="s">
        <v>149</v>
      </c>
      <c r="C108" s="62">
        <v>4</v>
      </c>
      <c r="D108" s="61">
        <v>3</v>
      </c>
    </row>
    <row r="109" spans="1:4" ht="15.75" x14ac:dyDescent="0.25">
      <c r="A109" s="63">
        <v>4205</v>
      </c>
      <c r="B109" s="61" t="s">
        <v>150</v>
      </c>
      <c r="C109" s="62">
        <v>4</v>
      </c>
      <c r="D109" s="61">
        <v>3</v>
      </c>
    </row>
    <row r="110" spans="1:4" ht="15.75" x14ac:dyDescent="0.25">
      <c r="A110" s="63">
        <v>5</v>
      </c>
      <c r="B110" s="61" t="s">
        <v>151</v>
      </c>
      <c r="C110" s="62">
        <v>5</v>
      </c>
      <c r="D110" s="61">
        <v>1</v>
      </c>
    </row>
    <row r="111" spans="1:4" ht="15.75" x14ac:dyDescent="0.25">
      <c r="A111" s="63">
        <v>51</v>
      </c>
      <c r="B111" s="61" t="s">
        <v>152</v>
      </c>
      <c r="C111" s="62">
        <v>5</v>
      </c>
      <c r="D111" s="61">
        <v>2</v>
      </c>
    </row>
    <row r="112" spans="1:4" ht="15.75" x14ac:dyDescent="0.25">
      <c r="A112" s="63">
        <v>5101</v>
      </c>
      <c r="B112" s="61" t="s">
        <v>153</v>
      </c>
      <c r="C112" s="62">
        <v>5</v>
      </c>
      <c r="D112" s="61">
        <v>3</v>
      </c>
    </row>
    <row r="113" spans="1:4" ht="15.75" x14ac:dyDescent="0.25">
      <c r="A113" s="64">
        <v>510101</v>
      </c>
      <c r="B113" s="65" t="s">
        <v>154</v>
      </c>
      <c r="C113" s="66">
        <v>5</v>
      </c>
      <c r="D113" s="65">
        <v>4</v>
      </c>
    </row>
    <row r="114" spans="1:4" ht="15.75" x14ac:dyDescent="0.25">
      <c r="A114" s="63">
        <v>5102</v>
      </c>
      <c r="B114" s="61" t="s">
        <v>260</v>
      </c>
      <c r="C114" s="62">
        <v>5</v>
      </c>
      <c r="D114" s="61">
        <v>4</v>
      </c>
    </row>
    <row r="115" spans="1:4" ht="15.75" x14ac:dyDescent="0.25">
      <c r="A115" s="63">
        <v>52</v>
      </c>
      <c r="B115" s="61" t="s">
        <v>155</v>
      </c>
      <c r="C115" s="62">
        <v>5</v>
      </c>
      <c r="D115" s="61">
        <v>2</v>
      </c>
    </row>
    <row r="116" spans="1:4" ht="15.75" x14ac:dyDescent="0.25">
      <c r="A116" s="63">
        <v>5201</v>
      </c>
      <c r="B116" s="61" t="s">
        <v>156</v>
      </c>
      <c r="C116" s="62">
        <v>5</v>
      </c>
      <c r="D116" s="61">
        <v>3</v>
      </c>
    </row>
    <row r="117" spans="1:4" ht="15.75" x14ac:dyDescent="0.25">
      <c r="A117" s="64">
        <v>520101</v>
      </c>
      <c r="B117" s="65" t="s">
        <v>157</v>
      </c>
      <c r="C117" s="66">
        <v>5</v>
      </c>
      <c r="D117" s="65">
        <v>4</v>
      </c>
    </row>
    <row r="118" spans="1:4" ht="15.75" x14ac:dyDescent="0.25">
      <c r="A118" s="63">
        <v>6</v>
      </c>
      <c r="B118" s="61" t="s">
        <v>158</v>
      </c>
      <c r="C118" s="62">
        <v>6</v>
      </c>
      <c r="D118" s="61">
        <v>1</v>
      </c>
    </row>
    <row r="119" spans="1:4" ht="15.75" x14ac:dyDescent="0.25">
      <c r="A119" s="63">
        <v>61</v>
      </c>
      <c r="B119" s="61" t="s">
        <v>159</v>
      </c>
      <c r="C119" s="62">
        <v>6</v>
      </c>
      <c r="D119" s="61">
        <v>2</v>
      </c>
    </row>
    <row r="120" spans="1:4" ht="15.75" x14ac:dyDescent="0.25">
      <c r="A120" s="63">
        <v>6101</v>
      </c>
      <c r="B120" s="61" t="s">
        <v>160</v>
      </c>
      <c r="C120" s="62">
        <v>6</v>
      </c>
      <c r="D120" s="61">
        <v>3</v>
      </c>
    </row>
    <row r="121" spans="1:4" x14ac:dyDescent="0.25">
      <c r="A121" s="119"/>
      <c r="B121" s="120"/>
      <c r="C121" s="121"/>
      <c r="D121" s="122"/>
    </row>
    <row r="122" spans="1:4" x14ac:dyDescent="0.25">
      <c r="A122" s="119"/>
      <c r="B122" s="120"/>
      <c r="C122" s="121"/>
      <c r="D122" s="122"/>
    </row>
    <row r="123" spans="1:4" x14ac:dyDescent="0.25">
      <c r="A123" s="59"/>
      <c r="B123" s="58"/>
      <c r="C123" s="57"/>
    </row>
    <row r="124" spans="1:4" x14ac:dyDescent="0.25">
      <c r="A124" s="53"/>
      <c r="B124" s="54"/>
      <c r="C124" s="55"/>
    </row>
    <row r="125" spans="1:4" x14ac:dyDescent="0.25">
      <c r="A125" s="56"/>
      <c r="B125" s="25"/>
      <c r="C125" s="57"/>
    </row>
    <row r="126" spans="1:4" x14ac:dyDescent="0.25">
      <c r="A126" s="56"/>
      <c r="B126" s="25"/>
      <c r="C126" s="57"/>
    </row>
    <row r="127" spans="1:4" x14ac:dyDescent="0.25">
      <c r="A127" s="56"/>
      <c r="B127" s="25"/>
      <c r="C127" s="57"/>
    </row>
    <row r="128" spans="1:4" x14ac:dyDescent="0.25">
      <c r="A128" s="56"/>
      <c r="B128" s="25"/>
      <c r="C128" s="57"/>
    </row>
    <row r="129" spans="1:4" x14ac:dyDescent="0.25">
      <c r="A129" s="53"/>
      <c r="B129" s="54"/>
      <c r="C129" s="55"/>
    </row>
    <row r="130" spans="1:4" x14ac:dyDescent="0.25">
      <c r="A130" s="56"/>
      <c r="B130" s="25"/>
      <c r="C130" s="57"/>
    </row>
    <row r="131" spans="1:4" x14ac:dyDescent="0.25">
      <c r="A131" s="59"/>
      <c r="B131" s="58"/>
      <c r="C131" s="60"/>
    </row>
    <row r="132" spans="1:4" x14ac:dyDescent="0.25">
      <c r="A132" s="59"/>
      <c r="B132" s="58"/>
      <c r="C132" s="57"/>
    </row>
    <row r="133" spans="1:4" x14ac:dyDescent="0.25">
      <c r="A133" s="53"/>
      <c r="B133" s="54"/>
      <c r="C133" s="55"/>
      <c r="D133">
        <v>5</v>
      </c>
    </row>
    <row r="134" spans="1:4" x14ac:dyDescent="0.25">
      <c r="A134" s="3"/>
      <c r="D134">
        <v>5</v>
      </c>
    </row>
  </sheetData>
  <sheetProtection algorithmName="SHA-512" hashValue="A58JnYU7biIvLuXtGlnk366qV868MTSdtyze2uBHHH52qP1XOgc4zY9CSSDZCZtRBOa7jLwA4k0krz7nSXdyaw==" saltValue="Z0/y099PDa2h+bZDTi46EQ==" spinCount="100000" sheet="1" objects="1" scenarios="1"/>
  <sortState xmlns:xlrd2="http://schemas.microsoft.com/office/spreadsheetml/2017/richdata2" ref="A2:D120">
    <sortCondition ref="A2"/>
  </sortState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0"/>
  </sheetPr>
  <dimension ref="A1:G42"/>
  <sheetViews>
    <sheetView showGridLines="0" workbookViewId="0">
      <selection activeCell="C13" sqref="C13"/>
    </sheetView>
  </sheetViews>
  <sheetFormatPr baseColWidth="10" defaultRowHeight="15" x14ac:dyDescent="0.25"/>
  <cols>
    <col min="1" max="1" width="10" style="1" customWidth="1"/>
    <col min="2" max="2" width="13.28515625" customWidth="1"/>
    <col min="3" max="3" width="64" customWidth="1"/>
    <col min="4" max="4" width="11.42578125" style="2"/>
    <col min="5" max="5" width="36.85546875" customWidth="1"/>
    <col min="6" max="6" width="13.5703125" style="4" customWidth="1"/>
    <col min="7" max="7" width="13.28515625" style="4" customWidth="1"/>
  </cols>
  <sheetData>
    <row r="1" spans="1:7" x14ac:dyDescent="0.25">
      <c r="A1" s="21" t="s">
        <v>11</v>
      </c>
      <c r="B1" s="22" t="s">
        <v>9</v>
      </c>
      <c r="C1" s="22" t="s">
        <v>10</v>
      </c>
      <c r="D1" s="22" t="s">
        <v>5</v>
      </c>
      <c r="E1" s="23" t="s">
        <v>1</v>
      </c>
      <c r="F1" s="24" t="s">
        <v>7</v>
      </c>
      <c r="G1" s="24" t="s">
        <v>8</v>
      </c>
    </row>
    <row r="2" spans="1:7" x14ac:dyDescent="0.25">
      <c r="A2" s="1">
        <v>1</v>
      </c>
      <c r="B2" s="5">
        <v>44470</v>
      </c>
      <c r="C2" t="s">
        <v>167</v>
      </c>
      <c r="D2" s="2">
        <v>110101</v>
      </c>
      <c r="E2" t="s">
        <v>6</v>
      </c>
      <c r="F2" s="4">
        <v>75000</v>
      </c>
    </row>
    <row r="3" spans="1:7" x14ac:dyDescent="0.25">
      <c r="A3" s="6"/>
      <c r="B3" s="7"/>
      <c r="C3" s="7" t="s">
        <v>168</v>
      </c>
      <c r="D3" s="8">
        <v>110501</v>
      </c>
      <c r="E3" s="7" t="s">
        <v>166</v>
      </c>
      <c r="F3" s="9">
        <v>14000</v>
      </c>
      <c r="G3" s="9"/>
    </row>
    <row r="4" spans="1:7" x14ac:dyDescent="0.25">
      <c r="B4" s="5"/>
      <c r="C4" t="s">
        <v>167</v>
      </c>
      <c r="D4" s="2">
        <v>120102</v>
      </c>
      <c r="E4" t="s">
        <v>80</v>
      </c>
      <c r="F4" s="4">
        <v>40000</v>
      </c>
    </row>
    <row r="5" spans="1:7" x14ac:dyDescent="0.25">
      <c r="A5" s="6"/>
      <c r="B5" s="7"/>
      <c r="C5" s="7" t="s">
        <v>169</v>
      </c>
      <c r="D5" s="8">
        <v>310101</v>
      </c>
      <c r="E5" s="7" t="s">
        <v>164</v>
      </c>
      <c r="F5" s="9"/>
      <c r="G5" s="9">
        <v>129000</v>
      </c>
    </row>
    <row r="6" spans="1:7" x14ac:dyDescent="0.25">
      <c r="A6" s="67">
        <v>2</v>
      </c>
      <c r="B6" s="68">
        <v>44471</v>
      </c>
      <c r="C6" s="69" t="s">
        <v>16</v>
      </c>
      <c r="D6" s="70">
        <v>1104</v>
      </c>
      <c r="E6" s="69" t="s">
        <v>161</v>
      </c>
      <c r="F6" s="71">
        <v>162.5</v>
      </c>
      <c r="G6" s="71"/>
    </row>
    <row r="7" spans="1:7" x14ac:dyDescent="0.25">
      <c r="B7" s="5"/>
      <c r="C7" t="s">
        <v>170</v>
      </c>
      <c r="D7" s="2">
        <v>120101</v>
      </c>
      <c r="E7" t="s">
        <v>79</v>
      </c>
      <c r="F7" s="4">
        <v>1250</v>
      </c>
    </row>
    <row r="8" spans="1:7" x14ac:dyDescent="0.25">
      <c r="A8" s="6"/>
      <c r="B8" s="7"/>
      <c r="C8" s="7" t="s">
        <v>171</v>
      </c>
      <c r="D8" s="8">
        <v>110101</v>
      </c>
      <c r="E8" s="7" t="s">
        <v>6</v>
      </c>
      <c r="F8" s="9"/>
      <c r="G8" s="9">
        <v>1412.5</v>
      </c>
    </row>
    <row r="9" spans="1:7" x14ac:dyDescent="0.25">
      <c r="A9" s="67">
        <v>3</v>
      </c>
      <c r="B9" s="68">
        <v>44472</v>
      </c>
      <c r="C9" s="69" t="s">
        <v>16</v>
      </c>
      <c r="D9" s="70">
        <v>1104</v>
      </c>
      <c r="E9" s="69" t="s">
        <v>161</v>
      </c>
      <c r="F9" s="71">
        <v>780</v>
      </c>
      <c r="G9" s="71"/>
    </row>
    <row r="10" spans="1:7" x14ac:dyDescent="0.25">
      <c r="B10" s="5"/>
      <c r="C10" t="s">
        <v>172</v>
      </c>
      <c r="D10" s="2">
        <v>110601</v>
      </c>
      <c r="E10" t="s">
        <v>71</v>
      </c>
      <c r="F10" s="4">
        <v>6000</v>
      </c>
    </row>
    <row r="11" spans="1:7" x14ac:dyDescent="0.25">
      <c r="A11" s="6"/>
      <c r="B11" s="7"/>
      <c r="C11" s="7" t="s">
        <v>173</v>
      </c>
      <c r="D11" s="8">
        <v>110101</v>
      </c>
      <c r="E11" s="7" t="s">
        <v>6</v>
      </c>
      <c r="F11" s="9"/>
      <c r="G11" s="9">
        <v>3390</v>
      </c>
    </row>
    <row r="12" spans="1:7" x14ac:dyDescent="0.25">
      <c r="A12" s="67"/>
      <c r="B12" s="68"/>
      <c r="C12" s="69" t="s">
        <v>174</v>
      </c>
      <c r="D12" s="70">
        <v>2102</v>
      </c>
      <c r="E12" s="69" t="s">
        <v>99</v>
      </c>
      <c r="F12" s="71"/>
      <c r="G12" s="71">
        <v>3390</v>
      </c>
    </row>
    <row r="13" spans="1:7" x14ac:dyDescent="0.25">
      <c r="A13" s="1">
        <v>4</v>
      </c>
      <c r="B13" s="5">
        <v>44473</v>
      </c>
      <c r="C13" t="s">
        <v>16</v>
      </c>
      <c r="D13" s="2">
        <v>1104</v>
      </c>
      <c r="E13" t="s">
        <v>161</v>
      </c>
      <c r="F13" s="4">
        <v>2210</v>
      </c>
    </row>
    <row r="14" spans="1:7" x14ac:dyDescent="0.25">
      <c r="A14" s="6"/>
      <c r="B14" s="7"/>
      <c r="C14" s="7" t="s">
        <v>175</v>
      </c>
      <c r="D14" s="8">
        <v>120104</v>
      </c>
      <c r="E14" s="7" t="s">
        <v>82</v>
      </c>
      <c r="F14" s="9">
        <v>17000</v>
      </c>
      <c r="G14" s="9"/>
    </row>
    <row r="15" spans="1:7" x14ac:dyDescent="0.25">
      <c r="A15" s="67"/>
      <c r="B15" s="68"/>
      <c r="C15" s="69" t="s">
        <v>176</v>
      </c>
      <c r="D15" s="70">
        <v>110101</v>
      </c>
      <c r="E15" s="69" t="s">
        <v>6</v>
      </c>
      <c r="F15" s="71"/>
      <c r="G15" s="71">
        <v>19210</v>
      </c>
    </row>
    <row r="16" spans="1:7" x14ac:dyDescent="0.25">
      <c r="A16" s="6">
        <v>5</v>
      </c>
      <c r="B16" s="75">
        <v>44479</v>
      </c>
      <c r="C16" s="7" t="s">
        <v>16</v>
      </c>
      <c r="D16" s="8">
        <v>1104</v>
      </c>
      <c r="E16" s="7" t="s">
        <v>161</v>
      </c>
      <c r="F16" s="9">
        <v>1235</v>
      </c>
      <c r="G16" s="9"/>
    </row>
    <row r="17" spans="1:7" x14ac:dyDescent="0.25">
      <c r="C17" t="s">
        <v>177</v>
      </c>
      <c r="D17" s="2">
        <v>1105</v>
      </c>
      <c r="E17" t="s">
        <v>69</v>
      </c>
      <c r="F17" s="4">
        <v>9500</v>
      </c>
    </row>
    <row r="18" spans="1:7" x14ac:dyDescent="0.25">
      <c r="A18" s="6"/>
      <c r="B18" s="7"/>
      <c r="C18" s="7" t="s">
        <v>178</v>
      </c>
      <c r="D18" s="8">
        <v>2102</v>
      </c>
      <c r="E18" s="7" t="s">
        <v>99</v>
      </c>
      <c r="F18" s="9"/>
      <c r="G18" s="9">
        <v>10735</v>
      </c>
    </row>
    <row r="19" spans="1:7" x14ac:dyDescent="0.25">
      <c r="A19" s="1">
        <v>6</v>
      </c>
      <c r="B19" s="5">
        <v>44489</v>
      </c>
      <c r="C19" t="s">
        <v>179</v>
      </c>
      <c r="D19" s="2">
        <v>1105</v>
      </c>
      <c r="E19" t="s">
        <v>69</v>
      </c>
      <c r="G19" s="4">
        <v>12000</v>
      </c>
    </row>
    <row r="20" spans="1:7" x14ac:dyDescent="0.25">
      <c r="C20" t="s">
        <v>180</v>
      </c>
      <c r="D20" s="2">
        <v>410101</v>
      </c>
      <c r="E20" t="s">
        <v>122</v>
      </c>
      <c r="F20" s="4">
        <v>12000</v>
      </c>
    </row>
    <row r="21" spans="1:7" x14ac:dyDescent="0.25">
      <c r="C21" t="s">
        <v>17</v>
      </c>
      <c r="D21" s="2">
        <v>2106</v>
      </c>
      <c r="E21" t="s">
        <v>109</v>
      </c>
      <c r="G21" s="4">
        <v>3250</v>
      </c>
    </row>
    <row r="22" spans="1:7" x14ac:dyDescent="0.25">
      <c r="C22" t="s">
        <v>181</v>
      </c>
      <c r="D22" s="2">
        <v>510101</v>
      </c>
      <c r="E22" t="s">
        <v>154</v>
      </c>
      <c r="G22" s="4">
        <v>25000</v>
      </c>
    </row>
    <row r="23" spans="1:7" x14ac:dyDescent="0.25">
      <c r="A23" s="6"/>
      <c r="B23" s="7"/>
      <c r="C23" s="7" t="s">
        <v>182</v>
      </c>
      <c r="D23" s="8">
        <v>110201</v>
      </c>
      <c r="E23" s="7" t="s">
        <v>67</v>
      </c>
      <c r="F23" s="9">
        <v>28250</v>
      </c>
      <c r="G23" s="9"/>
    </row>
    <row r="24" spans="1:7" x14ac:dyDescent="0.25">
      <c r="A24" s="1">
        <v>7</v>
      </c>
      <c r="B24" s="5">
        <v>44489</v>
      </c>
      <c r="C24" t="s">
        <v>183</v>
      </c>
      <c r="D24" s="2">
        <v>2102</v>
      </c>
      <c r="E24" t="s">
        <v>99</v>
      </c>
      <c r="F24" s="4">
        <v>5367.5</v>
      </c>
    </row>
    <row r="25" spans="1:7" x14ac:dyDescent="0.25">
      <c r="A25" s="6"/>
      <c r="B25" s="7"/>
      <c r="C25" s="7" t="s">
        <v>184</v>
      </c>
      <c r="D25" s="8">
        <v>110101</v>
      </c>
      <c r="E25" s="7" t="s">
        <v>6</v>
      </c>
      <c r="F25" s="9"/>
      <c r="G25" s="9">
        <v>5367.5</v>
      </c>
    </row>
    <row r="26" spans="1:7" x14ac:dyDescent="0.25">
      <c r="A26" s="1">
        <v>8</v>
      </c>
      <c r="B26" s="5">
        <v>44494</v>
      </c>
      <c r="C26" t="s">
        <v>16</v>
      </c>
      <c r="D26" s="2">
        <v>1104</v>
      </c>
      <c r="E26" t="s">
        <v>161</v>
      </c>
      <c r="F26" s="4">
        <v>1300</v>
      </c>
    </row>
    <row r="27" spans="1:7" x14ac:dyDescent="0.25">
      <c r="C27" t="s">
        <v>185</v>
      </c>
      <c r="D27" s="2">
        <v>1105</v>
      </c>
      <c r="E27" t="s">
        <v>69</v>
      </c>
      <c r="F27" s="4">
        <v>10000</v>
      </c>
    </row>
    <row r="28" spans="1:7" x14ac:dyDescent="0.25">
      <c r="A28" s="6"/>
      <c r="B28" s="7"/>
      <c r="C28" s="7" t="s">
        <v>186</v>
      </c>
      <c r="D28" s="8">
        <v>110101</v>
      </c>
      <c r="E28" s="7" t="s">
        <v>6</v>
      </c>
      <c r="F28" s="9"/>
      <c r="G28" s="9">
        <v>11300</v>
      </c>
    </row>
    <row r="29" spans="1:7" x14ac:dyDescent="0.25">
      <c r="A29" s="1">
        <v>9</v>
      </c>
      <c r="B29" s="5">
        <v>44494</v>
      </c>
      <c r="C29" t="s">
        <v>187</v>
      </c>
      <c r="D29" s="2">
        <v>1105</v>
      </c>
      <c r="E29" t="s">
        <v>69</v>
      </c>
      <c r="G29" s="4">
        <v>2500</v>
      </c>
    </row>
    <row r="30" spans="1:7" x14ac:dyDescent="0.25">
      <c r="C30" t="s">
        <v>188</v>
      </c>
      <c r="D30" s="2">
        <v>1104</v>
      </c>
      <c r="E30" t="s">
        <v>161</v>
      </c>
      <c r="G30" s="4">
        <v>325</v>
      </c>
    </row>
    <row r="31" spans="1:7" x14ac:dyDescent="0.25">
      <c r="A31" s="6"/>
      <c r="B31" s="7"/>
      <c r="C31" s="7" t="s">
        <v>189</v>
      </c>
      <c r="D31" s="8">
        <v>110101</v>
      </c>
      <c r="E31" s="7" t="s">
        <v>6</v>
      </c>
      <c r="F31" s="9">
        <v>2825</v>
      </c>
      <c r="G31" s="9"/>
    </row>
    <row r="32" spans="1:7" x14ac:dyDescent="0.25">
      <c r="A32" s="1">
        <v>10</v>
      </c>
      <c r="B32" s="5">
        <v>44496</v>
      </c>
      <c r="C32" t="s">
        <v>190</v>
      </c>
      <c r="D32" s="2">
        <v>1105</v>
      </c>
      <c r="E32" t="s">
        <v>69</v>
      </c>
      <c r="G32" s="4">
        <v>14000</v>
      </c>
    </row>
    <row r="33" spans="1:7" x14ac:dyDescent="0.25">
      <c r="C33" t="s">
        <v>191</v>
      </c>
      <c r="D33" s="2">
        <v>410101</v>
      </c>
      <c r="E33" t="s">
        <v>122</v>
      </c>
      <c r="F33" s="4">
        <v>14000</v>
      </c>
    </row>
    <row r="34" spans="1:7" x14ac:dyDescent="0.25">
      <c r="C34" t="s">
        <v>17</v>
      </c>
      <c r="D34" s="2">
        <v>2106</v>
      </c>
      <c r="E34" t="s">
        <v>109</v>
      </c>
      <c r="G34" s="4">
        <v>2990</v>
      </c>
    </row>
    <row r="35" spans="1:7" x14ac:dyDescent="0.25">
      <c r="C35" t="s">
        <v>181</v>
      </c>
      <c r="D35" s="2">
        <v>510101</v>
      </c>
      <c r="E35" t="s">
        <v>154</v>
      </c>
      <c r="G35" s="4">
        <v>23000</v>
      </c>
    </row>
    <row r="36" spans="1:7" x14ac:dyDescent="0.25">
      <c r="A36" s="6"/>
      <c r="B36" s="7"/>
      <c r="C36" s="7" t="s">
        <v>192</v>
      </c>
      <c r="D36" s="8">
        <v>110101</v>
      </c>
      <c r="E36" s="7" t="s">
        <v>6</v>
      </c>
      <c r="F36" s="9">
        <v>25990</v>
      </c>
      <c r="G36" s="9"/>
    </row>
    <row r="37" spans="1:7" x14ac:dyDescent="0.25">
      <c r="A37" s="1">
        <v>11</v>
      </c>
      <c r="B37" s="5">
        <v>44497</v>
      </c>
      <c r="C37" t="s">
        <v>126</v>
      </c>
      <c r="D37" s="2">
        <v>2102</v>
      </c>
      <c r="E37" t="s">
        <v>99</v>
      </c>
      <c r="G37" s="4">
        <v>500</v>
      </c>
    </row>
    <row r="38" spans="1:7" x14ac:dyDescent="0.25">
      <c r="A38" s="6"/>
      <c r="B38" s="7"/>
      <c r="C38" s="7" t="s">
        <v>193</v>
      </c>
      <c r="D38" s="8">
        <v>410301</v>
      </c>
      <c r="E38" s="7" t="s">
        <v>126</v>
      </c>
      <c r="F38" s="9">
        <v>500</v>
      </c>
      <c r="G38" s="9"/>
    </row>
    <row r="39" spans="1:7" x14ac:dyDescent="0.25">
      <c r="A39" s="1">
        <v>12</v>
      </c>
      <c r="B39" s="5">
        <v>44497</v>
      </c>
      <c r="C39" t="s">
        <v>194</v>
      </c>
      <c r="D39" s="2">
        <v>110101</v>
      </c>
      <c r="E39" t="s">
        <v>6</v>
      </c>
      <c r="G39" s="4">
        <v>4000</v>
      </c>
    </row>
    <row r="40" spans="1:7" x14ac:dyDescent="0.25">
      <c r="A40" s="6"/>
      <c r="B40" s="7"/>
      <c r="C40" s="7" t="s">
        <v>195</v>
      </c>
      <c r="D40" s="8">
        <v>410201</v>
      </c>
      <c r="E40" s="7" t="s">
        <v>124</v>
      </c>
      <c r="F40" s="9">
        <v>4000</v>
      </c>
      <c r="G40" s="9"/>
    </row>
    <row r="41" spans="1:7" x14ac:dyDescent="0.25">
      <c r="B41" s="5"/>
    </row>
    <row r="42" spans="1:7" x14ac:dyDescent="0.25">
      <c r="A42" s="6"/>
      <c r="B42" s="7"/>
      <c r="C42" s="7"/>
      <c r="D42" s="8"/>
      <c r="E42" s="7"/>
      <c r="F42" s="9"/>
      <c r="G42" s="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DDFFE1"/>
  </sheetPr>
  <dimension ref="A1:F65"/>
  <sheetViews>
    <sheetView workbookViewId="0"/>
  </sheetViews>
  <sheetFormatPr baseColWidth="10" defaultRowHeight="15" x14ac:dyDescent="0.25"/>
  <cols>
    <col min="2" max="2" width="37" customWidth="1"/>
    <col min="4" max="4" width="18.7109375" customWidth="1"/>
    <col min="5" max="6" width="12.5703125" bestFit="1" customWidth="1"/>
  </cols>
  <sheetData>
    <row r="1" spans="1:6" x14ac:dyDescent="0.25">
      <c r="A1" s="72" t="s">
        <v>5</v>
      </c>
      <c r="B1" s="72" t="s">
        <v>1</v>
      </c>
      <c r="C1" s="72" t="s">
        <v>162</v>
      </c>
      <c r="D1" s="72" t="s">
        <v>9</v>
      </c>
      <c r="E1" s="72" t="s">
        <v>7</v>
      </c>
      <c r="F1" s="72" t="s">
        <v>8</v>
      </c>
    </row>
    <row r="2" spans="1:6" x14ac:dyDescent="0.25">
      <c r="A2">
        <v>1101</v>
      </c>
      <c r="B2" t="s">
        <v>63</v>
      </c>
      <c r="C2">
        <v>1</v>
      </c>
      <c r="D2" s="5">
        <v>44470</v>
      </c>
      <c r="E2" s="82">
        <v>75000</v>
      </c>
      <c r="F2" s="82"/>
    </row>
    <row r="3" spans="1:6" x14ac:dyDescent="0.25">
      <c r="C3">
        <v>2</v>
      </c>
      <c r="D3" s="5">
        <v>44471</v>
      </c>
      <c r="E3" s="82"/>
      <c r="F3" s="82">
        <v>1412.5</v>
      </c>
    </row>
    <row r="4" spans="1:6" x14ac:dyDescent="0.25">
      <c r="C4">
        <v>3</v>
      </c>
      <c r="D4" s="5">
        <v>44472</v>
      </c>
      <c r="E4" s="82"/>
      <c r="F4" s="82">
        <v>3390</v>
      </c>
    </row>
    <row r="5" spans="1:6" x14ac:dyDescent="0.25">
      <c r="C5">
        <v>4</v>
      </c>
      <c r="D5" s="5">
        <v>44473</v>
      </c>
      <c r="E5" s="82"/>
      <c r="F5" s="82">
        <v>19210</v>
      </c>
    </row>
    <row r="6" spans="1:6" x14ac:dyDescent="0.25">
      <c r="C6">
        <v>7</v>
      </c>
      <c r="D6" s="5">
        <v>44489</v>
      </c>
      <c r="E6" s="82"/>
      <c r="F6" s="82">
        <v>5367.5</v>
      </c>
    </row>
    <row r="7" spans="1:6" x14ac:dyDescent="0.25">
      <c r="C7">
        <v>8</v>
      </c>
      <c r="D7" s="5">
        <v>44494</v>
      </c>
      <c r="E7" s="82"/>
      <c r="F7" s="82">
        <v>11300</v>
      </c>
    </row>
    <row r="8" spans="1:6" x14ac:dyDescent="0.25">
      <c r="C8">
        <v>9</v>
      </c>
      <c r="D8" s="5">
        <v>44494</v>
      </c>
      <c r="E8" s="82">
        <v>2825</v>
      </c>
      <c r="F8" s="82"/>
    </row>
    <row r="9" spans="1:6" x14ac:dyDescent="0.25">
      <c r="C9">
        <v>10</v>
      </c>
      <c r="D9" s="5">
        <v>44496</v>
      </c>
      <c r="E9" s="82">
        <v>25990</v>
      </c>
      <c r="F9" s="82"/>
    </row>
    <row r="10" spans="1:6" x14ac:dyDescent="0.25">
      <c r="C10">
        <v>12</v>
      </c>
      <c r="D10" s="5">
        <v>44497</v>
      </c>
      <c r="E10" s="82"/>
      <c r="F10" s="82">
        <v>4000</v>
      </c>
    </row>
    <row r="11" spans="1:6" x14ac:dyDescent="0.25">
      <c r="D11" s="5"/>
      <c r="E11" s="84">
        <v>103815</v>
      </c>
      <c r="F11" s="84">
        <v>44680</v>
      </c>
    </row>
    <row r="12" spans="1:6" x14ac:dyDescent="0.25">
      <c r="A12" s="72" t="s">
        <v>5</v>
      </c>
      <c r="B12" s="72" t="s">
        <v>1</v>
      </c>
      <c r="C12" s="72" t="s">
        <v>162</v>
      </c>
      <c r="D12" s="73" t="s">
        <v>9</v>
      </c>
      <c r="E12" s="83" t="s">
        <v>7</v>
      </c>
      <c r="F12" s="83" t="s">
        <v>8</v>
      </c>
    </row>
    <row r="13" spans="1:6" x14ac:dyDescent="0.25">
      <c r="A13">
        <v>1102</v>
      </c>
      <c r="B13" t="s">
        <v>66</v>
      </c>
      <c r="C13">
        <v>6</v>
      </c>
      <c r="D13" s="5">
        <v>44489</v>
      </c>
      <c r="E13" s="82">
        <v>28250</v>
      </c>
      <c r="F13" s="82"/>
    </row>
    <row r="14" spans="1:6" x14ac:dyDescent="0.25">
      <c r="D14" s="5"/>
      <c r="E14" s="84">
        <v>28250</v>
      </c>
      <c r="F14" s="82"/>
    </row>
    <row r="15" spans="1:6" x14ac:dyDescent="0.25">
      <c r="A15" s="72" t="s">
        <v>5</v>
      </c>
      <c r="B15" s="72" t="s">
        <v>1</v>
      </c>
      <c r="C15" s="72" t="s">
        <v>162</v>
      </c>
      <c r="D15" s="73" t="s">
        <v>9</v>
      </c>
      <c r="E15" s="83" t="s">
        <v>7</v>
      </c>
      <c r="F15" s="83" t="s">
        <v>8</v>
      </c>
    </row>
    <row r="16" spans="1:6" x14ac:dyDescent="0.25">
      <c r="A16">
        <v>1104</v>
      </c>
      <c r="B16" t="s">
        <v>161</v>
      </c>
      <c r="C16">
        <v>2</v>
      </c>
      <c r="D16" s="5">
        <v>44471</v>
      </c>
      <c r="E16" s="82">
        <v>162.5</v>
      </c>
      <c r="F16" s="82"/>
    </row>
    <row r="17" spans="1:6" x14ac:dyDescent="0.25">
      <c r="C17">
        <v>3</v>
      </c>
      <c r="D17" s="5">
        <v>44472</v>
      </c>
      <c r="E17" s="82">
        <v>780</v>
      </c>
      <c r="F17" s="82"/>
    </row>
    <row r="18" spans="1:6" x14ac:dyDescent="0.25">
      <c r="C18">
        <v>4</v>
      </c>
      <c r="D18" s="5">
        <v>44473</v>
      </c>
      <c r="E18" s="82">
        <v>2210</v>
      </c>
      <c r="F18" s="82"/>
    </row>
    <row r="19" spans="1:6" x14ac:dyDescent="0.25">
      <c r="C19">
        <v>5</v>
      </c>
      <c r="D19" s="5">
        <v>44479</v>
      </c>
      <c r="E19" s="82">
        <v>1235</v>
      </c>
      <c r="F19" s="82"/>
    </row>
    <row r="20" spans="1:6" x14ac:dyDescent="0.25">
      <c r="C20">
        <v>8</v>
      </c>
      <c r="D20" s="5">
        <v>44494</v>
      </c>
      <c r="E20" s="82">
        <v>1300</v>
      </c>
      <c r="F20" s="82"/>
    </row>
    <row r="21" spans="1:6" x14ac:dyDescent="0.25">
      <c r="C21">
        <v>9</v>
      </c>
      <c r="D21" s="5">
        <v>44494</v>
      </c>
      <c r="E21" s="82"/>
      <c r="F21" s="82">
        <v>325</v>
      </c>
    </row>
    <row r="22" spans="1:6" x14ac:dyDescent="0.25">
      <c r="D22" s="5"/>
      <c r="E22" s="84">
        <v>5687.5</v>
      </c>
      <c r="F22" s="84">
        <v>325</v>
      </c>
    </row>
    <row r="23" spans="1:6" x14ac:dyDescent="0.25">
      <c r="A23" s="72" t="s">
        <v>5</v>
      </c>
      <c r="B23" s="72" t="s">
        <v>1</v>
      </c>
      <c r="C23" s="72" t="s">
        <v>162</v>
      </c>
      <c r="D23" s="73" t="s">
        <v>9</v>
      </c>
      <c r="E23" s="83" t="s">
        <v>7</v>
      </c>
      <c r="F23" s="83" t="s">
        <v>8</v>
      </c>
    </row>
    <row r="24" spans="1:6" x14ac:dyDescent="0.25">
      <c r="A24">
        <v>1105</v>
      </c>
      <c r="B24" t="s">
        <v>69</v>
      </c>
      <c r="C24">
        <v>1</v>
      </c>
      <c r="D24" s="5">
        <v>44470</v>
      </c>
      <c r="E24" s="82">
        <v>14000</v>
      </c>
      <c r="F24" s="82"/>
    </row>
    <row r="25" spans="1:6" x14ac:dyDescent="0.25">
      <c r="C25">
        <v>5</v>
      </c>
      <c r="D25" s="5">
        <v>44479</v>
      </c>
      <c r="E25" s="82">
        <v>9500</v>
      </c>
      <c r="F25" s="82"/>
    </row>
    <row r="26" spans="1:6" x14ac:dyDescent="0.25">
      <c r="C26">
        <v>6</v>
      </c>
      <c r="D26" s="5">
        <v>44489</v>
      </c>
      <c r="E26" s="82"/>
      <c r="F26" s="82">
        <v>12000</v>
      </c>
    </row>
    <row r="27" spans="1:6" x14ac:dyDescent="0.25">
      <c r="C27">
        <v>8</v>
      </c>
      <c r="D27" s="5">
        <v>44494</v>
      </c>
      <c r="E27" s="82">
        <v>10000</v>
      </c>
      <c r="F27" s="82"/>
    </row>
    <row r="28" spans="1:6" x14ac:dyDescent="0.25">
      <c r="C28">
        <v>9</v>
      </c>
      <c r="D28" s="5">
        <v>44494</v>
      </c>
      <c r="E28" s="82"/>
      <c r="F28" s="82">
        <v>2500</v>
      </c>
    </row>
    <row r="29" spans="1:6" x14ac:dyDescent="0.25">
      <c r="C29">
        <v>10</v>
      </c>
      <c r="D29" s="5">
        <v>44496</v>
      </c>
      <c r="E29" s="82"/>
      <c r="F29" s="82">
        <v>14000</v>
      </c>
    </row>
    <row r="30" spans="1:6" x14ac:dyDescent="0.25">
      <c r="D30" s="5"/>
      <c r="E30" s="84">
        <v>33500</v>
      </c>
      <c r="F30" s="84">
        <v>28500</v>
      </c>
    </row>
    <row r="31" spans="1:6" x14ac:dyDescent="0.25">
      <c r="A31" s="72" t="s">
        <v>5</v>
      </c>
      <c r="B31" s="72" t="s">
        <v>1</v>
      </c>
      <c r="C31" s="72" t="s">
        <v>162</v>
      </c>
      <c r="D31" s="73" t="s">
        <v>9</v>
      </c>
      <c r="E31" s="83" t="s">
        <v>7</v>
      </c>
      <c r="F31" s="83" t="s">
        <v>8</v>
      </c>
    </row>
    <row r="32" spans="1:6" x14ac:dyDescent="0.25">
      <c r="A32">
        <v>1106</v>
      </c>
      <c r="B32" t="s">
        <v>70</v>
      </c>
      <c r="C32">
        <v>3</v>
      </c>
      <c r="D32" s="5">
        <v>44472</v>
      </c>
      <c r="E32" s="82">
        <v>6000</v>
      </c>
      <c r="F32" s="82"/>
    </row>
    <row r="33" spans="1:6" x14ac:dyDescent="0.25">
      <c r="D33" s="5"/>
      <c r="E33" s="84">
        <v>6000</v>
      </c>
      <c r="F33" s="82"/>
    </row>
    <row r="34" spans="1:6" x14ac:dyDescent="0.25">
      <c r="A34" s="72" t="s">
        <v>5</v>
      </c>
      <c r="B34" s="72" t="s">
        <v>1</v>
      </c>
      <c r="C34" s="72" t="s">
        <v>162</v>
      </c>
      <c r="D34" s="73" t="s">
        <v>9</v>
      </c>
      <c r="E34" s="83" t="s">
        <v>7</v>
      </c>
      <c r="F34" s="83" t="s">
        <v>8</v>
      </c>
    </row>
    <row r="35" spans="1:6" x14ac:dyDescent="0.25">
      <c r="A35">
        <v>1201</v>
      </c>
      <c r="B35" t="s">
        <v>78</v>
      </c>
      <c r="C35">
        <v>1</v>
      </c>
      <c r="D35" s="5">
        <v>44470</v>
      </c>
      <c r="E35" s="82">
        <v>40000</v>
      </c>
      <c r="F35" s="82"/>
    </row>
    <row r="36" spans="1:6" x14ac:dyDescent="0.25">
      <c r="C36">
        <v>2</v>
      </c>
      <c r="D36" s="5">
        <v>44471</v>
      </c>
      <c r="E36" s="82">
        <v>1250</v>
      </c>
      <c r="F36" s="82"/>
    </row>
    <row r="37" spans="1:6" x14ac:dyDescent="0.25">
      <c r="C37">
        <v>4</v>
      </c>
      <c r="D37" s="5">
        <v>44473</v>
      </c>
      <c r="E37" s="82">
        <v>17000</v>
      </c>
      <c r="F37" s="82"/>
    </row>
    <row r="38" spans="1:6" x14ac:dyDescent="0.25">
      <c r="D38" s="5"/>
      <c r="E38" s="84">
        <v>58250</v>
      </c>
      <c r="F38" s="82"/>
    </row>
    <row r="39" spans="1:6" x14ac:dyDescent="0.25">
      <c r="A39" s="72" t="s">
        <v>5</v>
      </c>
      <c r="B39" s="72" t="s">
        <v>1</v>
      </c>
      <c r="C39" s="72" t="s">
        <v>162</v>
      </c>
      <c r="D39" s="73" t="s">
        <v>9</v>
      </c>
      <c r="E39" s="83" t="s">
        <v>7</v>
      </c>
      <c r="F39" s="83" t="s">
        <v>8</v>
      </c>
    </row>
    <row r="40" spans="1:6" x14ac:dyDescent="0.25">
      <c r="A40">
        <v>2102</v>
      </c>
      <c r="B40" t="s">
        <v>99</v>
      </c>
      <c r="C40">
        <v>3</v>
      </c>
      <c r="D40" s="5">
        <v>44472</v>
      </c>
      <c r="E40" s="82"/>
      <c r="F40" s="82">
        <v>3390</v>
      </c>
    </row>
    <row r="41" spans="1:6" x14ac:dyDescent="0.25">
      <c r="C41">
        <v>5</v>
      </c>
      <c r="D41" s="5">
        <v>44479</v>
      </c>
      <c r="E41" s="82"/>
      <c r="F41" s="82">
        <v>10735</v>
      </c>
    </row>
    <row r="42" spans="1:6" x14ac:dyDescent="0.25">
      <c r="C42">
        <v>7</v>
      </c>
      <c r="D42" s="5">
        <v>44489</v>
      </c>
      <c r="E42" s="82">
        <v>5367.5</v>
      </c>
      <c r="F42" s="82"/>
    </row>
    <row r="43" spans="1:6" x14ac:dyDescent="0.25">
      <c r="C43">
        <v>11</v>
      </c>
      <c r="D43" s="5">
        <v>44497</v>
      </c>
      <c r="E43" s="82"/>
      <c r="F43" s="82">
        <v>500</v>
      </c>
    </row>
    <row r="44" spans="1:6" x14ac:dyDescent="0.25">
      <c r="D44" s="5"/>
      <c r="E44" s="84">
        <v>5367.5</v>
      </c>
      <c r="F44" s="84">
        <v>14625</v>
      </c>
    </row>
    <row r="45" spans="1:6" x14ac:dyDescent="0.25">
      <c r="A45" s="72" t="s">
        <v>5</v>
      </c>
      <c r="B45" s="72" t="s">
        <v>1</v>
      </c>
      <c r="C45" s="72" t="s">
        <v>162</v>
      </c>
      <c r="D45" s="73" t="s">
        <v>9</v>
      </c>
      <c r="E45" s="83" t="s">
        <v>7</v>
      </c>
      <c r="F45" s="83" t="s">
        <v>8</v>
      </c>
    </row>
    <row r="46" spans="1:6" x14ac:dyDescent="0.25">
      <c r="A46">
        <v>2106</v>
      </c>
      <c r="B46" t="s">
        <v>109</v>
      </c>
      <c r="C46">
        <v>6</v>
      </c>
      <c r="D46" s="5">
        <v>44489</v>
      </c>
      <c r="E46" s="82"/>
      <c r="F46" s="82">
        <v>3250</v>
      </c>
    </row>
    <row r="47" spans="1:6" x14ac:dyDescent="0.25">
      <c r="C47">
        <v>10</v>
      </c>
      <c r="D47" s="5">
        <v>44496</v>
      </c>
      <c r="E47" s="82"/>
      <c r="F47" s="82">
        <v>2990</v>
      </c>
    </row>
    <row r="48" spans="1:6" x14ac:dyDescent="0.25">
      <c r="D48" s="5"/>
      <c r="E48" s="82"/>
      <c r="F48" s="84">
        <v>6240</v>
      </c>
    </row>
    <row r="49" spans="1:6" x14ac:dyDescent="0.25">
      <c r="A49" s="72" t="s">
        <v>5</v>
      </c>
      <c r="B49" s="72" t="s">
        <v>1</v>
      </c>
      <c r="C49" s="72" t="s">
        <v>162</v>
      </c>
      <c r="D49" s="73" t="s">
        <v>9</v>
      </c>
      <c r="E49" s="83" t="s">
        <v>7</v>
      </c>
      <c r="F49" s="83" t="s">
        <v>8</v>
      </c>
    </row>
    <row r="50" spans="1:6" x14ac:dyDescent="0.25">
      <c r="A50">
        <v>3101</v>
      </c>
      <c r="B50" t="s">
        <v>115</v>
      </c>
      <c r="C50">
        <v>1</v>
      </c>
      <c r="D50" s="5">
        <v>44470</v>
      </c>
      <c r="E50" s="82"/>
      <c r="F50" s="82">
        <v>129000</v>
      </c>
    </row>
    <row r="51" spans="1:6" x14ac:dyDescent="0.25">
      <c r="D51" s="5"/>
      <c r="E51" s="82"/>
      <c r="F51" s="84">
        <v>129000</v>
      </c>
    </row>
    <row r="52" spans="1:6" x14ac:dyDescent="0.25">
      <c r="A52" s="72" t="s">
        <v>5</v>
      </c>
      <c r="B52" s="72" t="s">
        <v>1</v>
      </c>
      <c r="C52" s="72" t="s">
        <v>162</v>
      </c>
      <c r="D52" s="73" t="s">
        <v>9</v>
      </c>
      <c r="E52" s="83" t="s">
        <v>7</v>
      </c>
      <c r="F52" s="83" t="s">
        <v>8</v>
      </c>
    </row>
    <row r="53" spans="1:6" x14ac:dyDescent="0.25">
      <c r="A53">
        <v>4101</v>
      </c>
      <c r="B53" t="s">
        <v>121</v>
      </c>
      <c r="C53">
        <v>6</v>
      </c>
      <c r="D53" s="5">
        <v>44489</v>
      </c>
      <c r="E53" s="82">
        <v>12000</v>
      </c>
      <c r="F53" s="82"/>
    </row>
    <row r="54" spans="1:6" x14ac:dyDescent="0.25">
      <c r="C54">
        <v>10</v>
      </c>
      <c r="D54" s="5">
        <v>44496</v>
      </c>
      <c r="E54" s="82">
        <v>14000</v>
      </c>
      <c r="F54" s="82"/>
    </row>
    <row r="55" spans="1:6" x14ac:dyDescent="0.25">
      <c r="D55" s="5"/>
      <c r="E55" s="84">
        <v>26000</v>
      </c>
      <c r="F55" s="82"/>
    </row>
    <row r="56" spans="1:6" x14ac:dyDescent="0.25">
      <c r="A56" s="72" t="s">
        <v>5</v>
      </c>
      <c r="B56" s="72" t="s">
        <v>1</v>
      </c>
      <c r="C56" s="72" t="s">
        <v>162</v>
      </c>
      <c r="D56" s="73" t="s">
        <v>9</v>
      </c>
      <c r="E56" s="83" t="s">
        <v>7</v>
      </c>
      <c r="F56" s="83" t="s">
        <v>8</v>
      </c>
    </row>
    <row r="57" spans="1:6" x14ac:dyDescent="0.25">
      <c r="A57">
        <v>4102</v>
      </c>
      <c r="B57" t="s">
        <v>123</v>
      </c>
      <c r="C57">
        <v>12</v>
      </c>
      <c r="D57" s="5">
        <v>44497</v>
      </c>
      <c r="E57" s="82">
        <v>4000</v>
      </c>
      <c r="F57" s="82"/>
    </row>
    <row r="58" spans="1:6" x14ac:dyDescent="0.25">
      <c r="D58" s="5"/>
      <c r="E58" s="84">
        <v>4000</v>
      </c>
      <c r="F58" s="82"/>
    </row>
    <row r="59" spans="1:6" x14ac:dyDescent="0.25">
      <c r="A59" s="72" t="s">
        <v>5</v>
      </c>
      <c r="B59" s="72" t="s">
        <v>1</v>
      </c>
      <c r="C59" s="72" t="s">
        <v>162</v>
      </c>
      <c r="D59" s="73" t="s">
        <v>9</v>
      </c>
      <c r="E59" s="83" t="s">
        <v>7</v>
      </c>
      <c r="F59" s="83" t="s">
        <v>8</v>
      </c>
    </row>
    <row r="60" spans="1:6" x14ac:dyDescent="0.25">
      <c r="A60">
        <v>4103</v>
      </c>
      <c r="B60" t="s">
        <v>125</v>
      </c>
      <c r="C60">
        <v>11</v>
      </c>
      <c r="D60" s="5">
        <v>44497</v>
      </c>
      <c r="E60" s="82">
        <v>500</v>
      </c>
      <c r="F60" s="82"/>
    </row>
    <row r="61" spans="1:6" x14ac:dyDescent="0.25">
      <c r="D61" s="5"/>
      <c r="E61" s="84">
        <v>500</v>
      </c>
      <c r="F61" s="82"/>
    </row>
    <row r="62" spans="1:6" x14ac:dyDescent="0.25">
      <c r="A62" s="72" t="s">
        <v>5</v>
      </c>
      <c r="B62" s="72" t="s">
        <v>1</v>
      </c>
      <c r="C62" s="72" t="s">
        <v>162</v>
      </c>
      <c r="D62" s="73" t="s">
        <v>9</v>
      </c>
      <c r="E62" s="83" t="s">
        <v>7</v>
      </c>
      <c r="F62" s="83" t="s">
        <v>8</v>
      </c>
    </row>
    <row r="63" spans="1:6" x14ac:dyDescent="0.25">
      <c r="A63">
        <v>5101</v>
      </c>
      <c r="B63" t="s">
        <v>153</v>
      </c>
      <c r="C63">
        <v>6</v>
      </c>
      <c r="D63" s="5">
        <v>44489</v>
      </c>
      <c r="E63" s="82"/>
      <c r="F63" s="82">
        <v>25000</v>
      </c>
    </row>
    <row r="64" spans="1:6" x14ac:dyDescent="0.25">
      <c r="C64">
        <v>10</v>
      </c>
      <c r="D64" s="5">
        <v>44496</v>
      </c>
      <c r="E64" s="82"/>
      <c r="F64" s="82">
        <v>23000</v>
      </c>
    </row>
    <row r="65" spans="6:6" x14ac:dyDescent="0.25">
      <c r="F65" s="84">
        <v>48000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nviarAMayor">
                <anchor moveWithCells="1">
                  <from>
                    <xdr:col>10</xdr:col>
                    <xdr:colOff>609600</xdr:colOff>
                    <xdr:row>118</xdr:row>
                    <xdr:rowOff>171450</xdr:rowOff>
                  </from>
                  <to>
                    <xdr:col>11</xdr:col>
                    <xdr:colOff>342900</xdr:colOff>
                    <xdr:row>120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8" tint="0.59999389629810485"/>
  </sheetPr>
  <dimension ref="A1:F15"/>
  <sheetViews>
    <sheetView workbookViewId="0">
      <selection activeCell="H4" sqref="H4"/>
    </sheetView>
  </sheetViews>
  <sheetFormatPr baseColWidth="10" defaultRowHeight="15" x14ac:dyDescent="0.25"/>
  <cols>
    <col min="2" max="2" width="42.42578125" customWidth="1"/>
    <col min="3" max="3" width="16.5703125" customWidth="1"/>
    <col min="4" max="4" width="16.28515625" customWidth="1"/>
    <col min="5" max="5" width="15.85546875" customWidth="1"/>
    <col min="6" max="6" width="18.42578125" customWidth="1"/>
  </cols>
  <sheetData>
    <row r="1" spans="1:6" x14ac:dyDescent="0.25">
      <c r="A1" s="72" t="s">
        <v>5</v>
      </c>
      <c r="B1" s="72" t="s">
        <v>1</v>
      </c>
      <c r="C1" s="72" t="s">
        <v>7</v>
      </c>
      <c r="D1" s="72" t="s">
        <v>8</v>
      </c>
      <c r="E1" s="72" t="s">
        <v>244</v>
      </c>
      <c r="F1" s="72" t="s">
        <v>245</v>
      </c>
    </row>
    <row r="2" spans="1:6" x14ac:dyDescent="0.25">
      <c r="A2">
        <v>1101</v>
      </c>
      <c r="B2" t="s">
        <v>63</v>
      </c>
      <c r="C2" s="82">
        <v>103815</v>
      </c>
      <c r="D2" s="82">
        <v>44680</v>
      </c>
      <c r="E2" s="82">
        <v>59135</v>
      </c>
    </row>
    <row r="3" spans="1:6" x14ac:dyDescent="0.25">
      <c r="A3">
        <v>1102</v>
      </c>
      <c r="B3" t="s">
        <v>66</v>
      </c>
      <c r="C3" s="82">
        <v>28250</v>
      </c>
      <c r="D3" s="82"/>
      <c r="E3" s="82">
        <v>28250</v>
      </c>
    </row>
    <row r="4" spans="1:6" x14ac:dyDescent="0.25">
      <c r="A4">
        <v>1104</v>
      </c>
      <c r="B4" t="s">
        <v>161</v>
      </c>
      <c r="C4" s="82">
        <v>5687.5</v>
      </c>
      <c r="D4" s="82">
        <v>325</v>
      </c>
      <c r="E4" s="82">
        <v>5362.5</v>
      </c>
    </row>
    <row r="5" spans="1:6" x14ac:dyDescent="0.25">
      <c r="A5">
        <v>1105</v>
      </c>
      <c r="B5" t="s">
        <v>69</v>
      </c>
      <c r="C5" s="82">
        <v>33500</v>
      </c>
      <c r="D5" s="82">
        <v>28500</v>
      </c>
      <c r="E5" s="82">
        <v>5000</v>
      </c>
    </row>
    <row r="6" spans="1:6" x14ac:dyDescent="0.25">
      <c r="A6">
        <v>1106</v>
      </c>
      <c r="B6" t="s">
        <v>70</v>
      </c>
      <c r="C6" s="82">
        <v>6000</v>
      </c>
      <c r="D6" s="82"/>
      <c r="E6" s="82">
        <v>6000</v>
      </c>
    </row>
    <row r="7" spans="1:6" x14ac:dyDescent="0.25">
      <c r="A7">
        <v>1201</v>
      </c>
      <c r="B7" t="s">
        <v>78</v>
      </c>
      <c r="C7" s="82">
        <v>58250</v>
      </c>
      <c r="D7" s="82"/>
      <c r="E7" s="82">
        <v>58250</v>
      </c>
    </row>
    <row r="8" spans="1:6" x14ac:dyDescent="0.25">
      <c r="A8">
        <v>2102</v>
      </c>
      <c r="B8" t="s">
        <v>99</v>
      </c>
      <c r="C8" s="82">
        <v>5367.5</v>
      </c>
      <c r="D8" s="82">
        <v>14625</v>
      </c>
      <c r="F8" s="82">
        <v>9257.5</v>
      </c>
    </row>
    <row r="9" spans="1:6" x14ac:dyDescent="0.25">
      <c r="A9">
        <v>2106</v>
      </c>
      <c r="B9" t="s">
        <v>109</v>
      </c>
      <c r="C9" s="82"/>
      <c r="D9" s="82">
        <v>6240</v>
      </c>
      <c r="F9" s="82">
        <v>6240</v>
      </c>
    </row>
    <row r="10" spans="1:6" x14ac:dyDescent="0.25">
      <c r="A10">
        <v>3101</v>
      </c>
      <c r="B10" t="s">
        <v>115</v>
      </c>
      <c r="C10" s="82"/>
      <c r="D10" s="82">
        <v>129000</v>
      </c>
      <c r="F10" s="82">
        <v>129000</v>
      </c>
    </row>
    <row r="11" spans="1:6" x14ac:dyDescent="0.25">
      <c r="A11">
        <v>4101</v>
      </c>
      <c r="B11" t="s">
        <v>121</v>
      </c>
      <c r="C11" s="82">
        <v>26000</v>
      </c>
      <c r="D11" s="82"/>
      <c r="E11" s="82">
        <v>26000</v>
      </c>
    </row>
    <row r="12" spans="1:6" x14ac:dyDescent="0.25">
      <c r="A12">
        <v>4102</v>
      </c>
      <c r="B12" t="s">
        <v>123</v>
      </c>
      <c r="C12" s="82">
        <v>4000</v>
      </c>
      <c r="D12" s="82"/>
      <c r="E12" s="82">
        <v>4000</v>
      </c>
    </row>
    <row r="13" spans="1:6" x14ac:dyDescent="0.25">
      <c r="A13">
        <v>4103</v>
      </c>
      <c r="B13" t="s">
        <v>125</v>
      </c>
      <c r="C13" s="82">
        <v>500</v>
      </c>
      <c r="D13" s="82"/>
      <c r="E13" s="82">
        <v>500</v>
      </c>
    </row>
    <row r="14" spans="1:6" x14ac:dyDescent="0.25">
      <c r="A14">
        <v>5101</v>
      </c>
      <c r="B14" t="s">
        <v>153</v>
      </c>
      <c r="C14" s="82"/>
      <c r="D14" s="82">
        <v>48000</v>
      </c>
      <c r="F14" s="82">
        <v>48000</v>
      </c>
    </row>
    <row r="15" spans="1:6" x14ac:dyDescent="0.25">
      <c r="A15" s="74"/>
      <c r="B15" s="74"/>
      <c r="C15" s="85">
        <v>271370</v>
      </c>
      <c r="D15" s="85">
        <v>271370</v>
      </c>
      <c r="E15" s="85">
        <v>192497.5</v>
      </c>
      <c r="F15" s="85">
        <v>192497.5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ConstruirBalancedeComprobacion">
                <anchor moveWithCells="1">
                  <from>
                    <xdr:col>11</xdr:col>
                    <xdr:colOff>361950</xdr:colOff>
                    <xdr:row>1</xdr:row>
                    <xdr:rowOff>0</xdr:rowOff>
                  </from>
                  <to>
                    <xdr:col>12</xdr:col>
                    <xdr:colOff>95250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DDFFE1"/>
  </sheetPr>
  <dimension ref="A1:I23"/>
  <sheetViews>
    <sheetView workbookViewId="0">
      <selection activeCell="D20" sqref="D20"/>
    </sheetView>
  </sheetViews>
  <sheetFormatPr baseColWidth="10" defaultRowHeight="15" x14ac:dyDescent="0.25"/>
  <cols>
    <col min="2" max="2" width="39.28515625" customWidth="1"/>
    <col min="3" max="3" width="32.5703125" customWidth="1"/>
    <col min="4" max="4" width="19.85546875" customWidth="1"/>
  </cols>
  <sheetData>
    <row r="1" spans="1:9" x14ac:dyDescent="0.25">
      <c r="G1" s="40"/>
    </row>
    <row r="2" spans="1:9" ht="18.75" x14ac:dyDescent="0.3">
      <c r="A2" s="40"/>
      <c r="B2" s="47" t="s">
        <v>252</v>
      </c>
      <c r="C2" s="40"/>
      <c r="D2" s="40"/>
      <c r="G2" s="27"/>
      <c r="H2" s="28"/>
    </row>
    <row r="3" spans="1:9" x14ac:dyDescent="0.25">
      <c r="B3" s="29"/>
      <c r="C3" s="28"/>
      <c r="D3" s="28"/>
    </row>
    <row r="4" spans="1:9" x14ac:dyDescent="0.25">
      <c r="B4" s="29"/>
      <c r="C4" s="28"/>
      <c r="D4" s="28"/>
      <c r="G4" s="40"/>
    </row>
    <row r="5" spans="1:9" x14ac:dyDescent="0.25">
      <c r="A5" s="43" t="s">
        <v>38</v>
      </c>
      <c r="B5" s="43" t="s">
        <v>39</v>
      </c>
      <c r="C5" s="43" t="s">
        <v>40</v>
      </c>
      <c r="D5" s="43" t="s">
        <v>41</v>
      </c>
    </row>
    <row r="6" spans="1:9" x14ac:dyDescent="0.25">
      <c r="A6" s="97" t="s">
        <v>42</v>
      </c>
      <c r="B6" s="41" t="s">
        <v>248</v>
      </c>
      <c r="C6" s="41" t="s">
        <v>249</v>
      </c>
      <c r="D6" s="99">
        <v>12.53</v>
      </c>
    </row>
    <row r="7" spans="1:9" x14ac:dyDescent="0.25">
      <c r="A7" s="79" t="s">
        <v>43</v>
      </c>
      <c r="B7" s="42" t="s">
        <v>44</v>
      </c>
      <c r="C7" s="42" t="s">
        <v>45</v>
      </c>
      <c r="D7" s="100">
        <v>200.45</v>
      </c>
      <c r="G7" s="40"/>
    </row>
    <row r="8" spans="1:9" x14ac:dyDescent="0.25">
      <c r="A8" s="78" t="s">
        <v>46</v>
      </c>
      <c r="B8" s="41" t="s">
        <v>47</v>
      </c>
      <c r="C8" s="41" t="s">
        <v>48</v>
      </c>
      <c r="D8" s="99">
        <v>36.320999999999998</v>
      </c>
      <c r="H8" s="33"/>
      <c r="I8" s="34"/>
    </row>
    <row r="9" spans="1:9" x14ac:dyDescent="0.25">
      <c r="A9" s="79" t="s">
        <v>49</v>
      </c>
      <c r="B9" s="42" t="s">
        <v>50</v>
      </c>
      <c r="C9" s="42" t="s">
        <v>51</v>
      </c>
      <c r="D9" s="100">
        <v>85.99</v>
      </c>
    </row>
    <row r="10" spans="1:9" x14ac:dyDescent="0.25">
      <c r="A10" s="81" t="s">
        <v>52</v>
      </c>
      <c r="B10" s="44" t="s">
        <v>225</v>
      </c>
      <c r="C10" s="80" t="s">
        <v>224</v>
      </c>
      <c r="D10" s="98">
        <v>106.15009999999999</v>
      </c>
    </row>
    <row r="11" spans="1:9" x14ac:dyDescent="0.25">
      <c r="A11" s="27"/>
      <c r="C11" s="29"/>
      <c r="D11" s="28"/>
      <c r="H11" s="33"/>
    </row>
    <row r="12" spans="1:9" x14ac:dyDescent="0.25">
      <c r="A12" s="27"/>
      <c r="C12" s="29"/>
      <c r="D12" s="28"/>
    </row>
    <row r="13" spans="1:9" x14ac:dyDescent="0.25">
      <c r="A13" s="27"/>
      <c r="D13" s="28"/>
    </row>
    <row r="14" spans="1:9" x14ac:dyDescent="0.25">
      <c r="A14" s="27"/>
      <c r="D14" s="28"/>
    </row>
    <row r="15" spans="1:9" x14ac:dyDescent="0.25">
      <c r="A15" s="27"/>
      <c r="D15" s="28"/>
    </row>
    <row r="16" spans="1:9" x14ac:dyDescent="0.25">
      <c r="A16" s="27"/>
      <c r="D16" s="28"/>
    </row>
    <row r="17" spans="1:4" x14ac:dyDescent="0.25">
      <c r="A17" s="27"/>
      <c r="D17" s="28"/>
    </row>
    <row r="18" spans="1:4" x14ac:dyDescent="0.25">
      <c r="A18" s="27"/>
      <c r="D18" s="28"/>
    </row>
    <row r="19" spans="1:4" x14ac:dyDescent="0.25">
      <c r="A19" s="27"/>
      <c r="D19" s="28"/>
    </row>
    <row r="20" spans="1:4" x14ac:dyDescent="0.25">
      <c r="A20" s="27"/>
      <c r="D20" s="28"/>
    </row>
    <row r="21" spans="1:4" x14ac:dyDescent="0.25">
      <c r="A21" s="27"/>
    </row>
    <row r="22" spans="1:4" x14ac:dyDescent="0.25">
      <c r="A22" s="27"/>
    </row>
    <row r="23" spans="1:4" x14ac:dyDescent="0.25">
      <c r="A23" s="27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DDFFE1"/>
  </sheetPr>
  <dimension ref="A1:J30"/>
  <sheetViews>
    <sheetView workbookViewId="0">
      <selection activeCell="E16" sqref="E16"/>
    </sheetView>
  </sheetViews>
  <sheetFormatPr baseColWidth="10" defaultRowHeight="15" x14ac:dyDescent="0.25"/>
  <cols>
    <col min="1" max="1" width="21.42578125" customWidth="1"/>
    <col min="2" max="2" width="25.85546875" customWidth="1"/>
    <col min="3" max="3" width="14.140625" customWidth="1"/>
    <col min="4" max="4" width="13" customWidth="1"/>
    <col min="7" max="7" width="16.42578125" customWidth="1"/>
    <col min="8" max="8" width="18.140625" customWidth="1"/>
    <col min="9" max="9" width="15.85546875" customWidth="1"/>
    <col min="14" max="14" width="33.7109375" customWidth="1"/>
    <col min="15" max="15" width="39.7109375" customWidth="1"/>
  </cols>
  <sheetData>
    <row r="1" spans="1:10" x14ac:dyDescent="0.25">
      <c r="G1" s="26" t="s">
        <v>19</v>
      </c>
      <c r="H1" t="s">
        <v>20</v>
      </c>
      <c r="I1" t="s">
        <v>21</v>
      </c>
      <c r="J1" t="s">
        <v>22</v>
      </c>
    </row>
    <row r="2" spans="1:10" x14ac:dyDescent="0.25">
      <c r="A2" s="10" t="s">
        <v>23</v>
      </c>
      <c r="B2" s="10" t="s">
        <v>24</v>
      </c>
      <c r="C2" s="10" t="s">
        <v>25</v>
      </c>
      <c r="D2" s="10" t="s">
        <v>26</v>
      </c>
      <c r="G2" s="27" t="s">
        <v>250</v>
      </c>
      <c r="H2" s="28" t="s">
        <v>250</v>
      </c>
      <c r="I2" t="s">
        <v>250</v>
      </c>
      <c r="J2" t="s">
        <v>250</v>
      </c>
    </row>
    <row r="3" spans="1:10" x14ac:dyDescent="0.25">
      <c r="A3" t="s">
        <v>27</v>
      </c>
      <c r="B3" s="29" t="e">
        <f t="shared" ref="B3" si="0">H2*7</f>
        <v>#VALUE!</v>
      </c>
      <c r="C3" s="28" t="e">
        <f>Tabla45[[#This Row],[Semanal ]]/52</f>
        <v>#VALUE!</v>
      </c>
      <c r="D3" s="77" t="e">
        <f>H2/J2</f>
        <v>#VALUE!</v>
      </c>
    </row>
    <row r="4" spans="1:10" x14ac:dyDescent="0.25">
      <c r="A4" t="s">
        <v>28</v>
      </c>
      <c r="B4" s="29" t="e">
        <f>((H8*H2)+I8*(H8*H2))/52</f>
        <v>#VALUE!</v>
      </c>
      <c r="C4" s="28"/>
      <c r="D4" s="28"/>
      <c r="G4" s="26" t="s">
        <v>29</v>
      </c>
      <c r="H4" t="s">
        <v>30</v>
      </c>
      <c r="I4" t="s">
        <v>31</v>
      </c>
    </row>
    <row r="5" spans="1:10" x14ac:dyDescent="0.25">
      <c r="A5" t="s">
        <v>29</v>
      </c>
      <c r="B5" s="29" t="e">
        <f>(I5*H2)/52</f>
        <v>#VALUE!</v>
      </c>
      <c r="C5" s="28"/>
      <c r="D5" s="28"/>
      <c r="H5">
        <v>12</v>
      </c>
      <c r="I5">
        <f>IF(H5=1,10,IF(H5&lt;4,10,IF(H5=4,15,IF(H5&lt;11,15,18))))</f>
        <v>18</v>
      </c>
    </row>
    <row r="6" spans="1:10" x14ac:dyDescent="0.25">
      <c r="A6" t="s">
        <v>32</v>
      </c>
      <c r="B6" s="29" t="e">
        <f>(B3+B4)*H10</f>
        <v>#VALUE!</v>
      </c>
      <c r="C6" s="28"/>
      <c r="D6" s="28"/>
      <c r="J6">
        <f>IF(I5&gt;=1,10,IF(I5&lt;=3,10,IF(I5&lt;=10,15,18)))</f>
        <v>10</v>
      </c>
    </row>
    <row r="7" spans="1:10" x14ac:dyDescent="0.25">
      <c r="A7" t="s">
        <v>33</v>
      </c>
      <c r="B7" s="29" t="e">
        <f>(B3+B4)*H12</f>
        <v>#VALUE!</v>
      </c>
      <c r="C7" s="28"/>
      <c r="D7" s="28"/>
      <c r="G7" s="26" t="s">
        <v>28</v>
      </c>
      <c r="H7" t="s">
        <v>31</v>
      </c>
      <c r="I7" t="s">
        <v>34</v>
      </c>
    </row>
    <row r="8" spans="1:10" x14ac:dyDescent="0.25">
      <c r="B8" s="30"/>
      <c r="C8" s="31"/>
      <c r="D8" s="32"/>
      <c r="H8" s="33">
        <v>15</v>
      </c>
      <c r="I8" s="34">
        <v>0.3</v>
      </c>
    </row>
    <row r="9" spans="1:10" ht="15.75" x14ac:dyDescent="0.25">
      <c r="A9" s="35" t="s">
        <v>41</v>
      </c>
      <c r="B9" s="36" t="e">
        <f>SUM(B3:B7)</f>
        <v>#VALUE!</v>
      </c>
      <c r="C9" s="36"/>
      <c r="D9" s="36"/>
    </row>
    <row r="10" spans="1:10" x14ac:dyDescent="0.25">
      <c r="B10" s="29"/>
      <c r="C10" s="37"/>
      <c r="D10" s="28"/>
      <c r="G10" s="26" t="s">
        <v>32</v>
      </c>
      <c r="H10" s="38">
        <v>7.4999999999999997E-2</v>
      </c>
    </row>
    <row r="11" spans="1:10" ht="15.75" x14ac:dyDescent="0.25">
      <c r="A11" s="35" t="s">
        <v>54</v>
      </c>
      <c r="B11" s="29" t="e">
        <f>H2*I2</f>
        <v>#VALUE!</v>
      </c>
      <c r="C11" s="37" t="str">
        <f>+H2</f>
        <v/>
      </c>
      <c r="D11" s="77" t="e">
        <f>H2/J2</f>
        <v>#VALUE!</v>
      </c>
    </row>
    <row r="12" spans="1:10" x14ac:dyDescent="0.25">
      <c r="G12" s="26" t="s">
        <v>33</v>
      </c>
      <c r="H12" s="38">
        <v>7.7499999999999999E-2</v>
      </c>
    </row>
    <row r="13" spans="1:10" x14ac:dyDescent="0.25">
      <c r="B13" t="s">
        <v>35</v>
      </c>
      <c r="C13" s="28"/>
    </row>
    <row r="14" spans="1:10" x14ac:dyDescent="0.25">
      <c r="B14" t="s">
        <v>36</v>
      </c>
      <c r="C14" s="29" t="e">
        <f>H2*I2</f>
        <v>#VALUE!</v>
      </c>
    </row>
    <row r="15" spans="1:10" x14ac:dyDescent="0.25">
      <c r="B15" t="s">
        <v>25</v>
      </c>
      <c r="C15" s="29" t="str">
        <f>+H2</f>
        <v/>
      </c>
      <c r="G15" s="39" t="s">
        <v>37</v>
      </c>
      <c r="H15" s="33" t="e">
        <f>B9/C14</f>
        <v>#VALUE!</v>
      </c>
    </row>
    <row r="16" spans="1:10" x14ac:dyDescent="0.25">
      <c r="B16" t="s">
        <v>26</v>
      </c>
      <c r="C16" s="29" t="e">
        <f>H2/J2</f>
        <v>#VALUE!</v>
      </c>
    </row>
    <row r="20" spans="1:2" x14ac:dyDescent="0.25">
      <c r="A20" t="s">
        <v>242</v>
      </c>
      <c r="B20" t="s">
        <v>241</v>
      </c>
    </row>
    <row r="21" spans="1:2" x14ac:dyDescent="0.25">
      <c r="A21" t="s">
        <v>226</v>
      </c>
      <c r="B21" t="s">
        <v>231</v>
      </c>
    </row>
    <row r="22" spans="1:2" x14ac:dyDescent="0.25">
      <c r="A22" t="s">
        <v>226</v>
      </c>
      <c r="B22" t="s">
        <v>232</v>
      </c>
    </row>
    <row r="23" spans="1:2" x14ac:dyDescent="0.25">
      <c r="A23" t="s">
        <v>226</v>
      </c>
      <c r="B23" t="s">
        <v>233</v>
      </c>
    </row>
    <row r="24" spans="1:2" x14ac:dyDescent="0.25">
      <c r="A24" t="s">
        <v>227</v>
      </c>
      <c r="B24" t="s">
        <v>234</v>
      </c>
    </row>
    <row r="25" spans="1:2" x14ac:dyDescent="0.25">
      <c r="A25" t="s">
        <v>227</v>
      </c>
      <c r="B25" t="s">
        <v>96</v>
      </c>
    </row>
    <row r="26" spans="1:2" x14ac:dyDescent="0.25">
      <c r="A26" t="s">
        <v>227</v>
      </c>
      <c r="B26" t="s">
        <v>235</v>
      </c>
    </row>
    <row r="27" spans="1:2" x14ac:dyDescent="0.25">
      <c r="A27" t="s">
        <v>228</v>
      </c>
      <c r="B27" t="s">
        <v>236</v>
      </c>
    </row>
    <row r="28" spans="1:2" x14ac:dyDescent="0.25">
      <c r="A28" t="s">
        <v>229</v>
      </c>
      <c r="B28" t="s">
        <v>237</v>
      </c>
    </row>
    <row r="29" spans="1:2" x14ac:dyDescent="0.25">
      <c r="A29" t="s">
        <v>240</v>
      </c>
      <c r="B29" t="s">
        <v>238</v>
      </c>
    </row>
    <row r="30" spans="1:2" x14ac:dyDescent="0.25">
      <c r="A30" t="s">
        <v>230</v>
      </c>
      <c r="B30" t="s">
        <v>239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0E8F2-1E8A-4695-A57A-64D5813BFAA3}">
  <sheetPr codeName="Hoja8">
    <tabColor rgb="FFDDFFE1"/>
    <pageSetUpPr fitToPage="1"/>
  </sheetPr>
  <dimension ref="A1:N27"/>
  <sheetViews>
    <sheetView zoomScale="96" zoomScaleNormal="96" workbookViewId="0">
      <selection activeCell="I8" sqref="I8"/>
    </sheetView>
  </sheetViews>
  <sheetFormatPr baseColWidth="10" defaultRowHeight="15" x14ac:dyDescent="0.25"/>
  <cols>
    <col min="1" max="1" width="45.85546875" customWidth="1"/>
    <col min="2" max="2" width="19.42578125" customWidth="1"/>
    <col min="3" max="3" width="17.140625" customWidth="1"/>
    <col min="4" max="4" width="15.5703125" customWidth="1"/>
    <col min="5" max="5" width="14.42578125" customWidth="1"/>
    <col min="6" max="6" width="17.42578125" customWidth="1"/>
    <col min="7" max="7" width="17.28515625" customWidth="1"/>
    <col min="8" max="8" width="16.5703125" customWidth="1"/>
    <col min="9" max="9" width="15.42578125" customWidth="1"/>
    <col min="10" max="10" width="12.42578125" customWidth="1"/>
    <col min="11" max="11" width="13.85546875" customWidth="1"/>
    <col min="12" max="12" width="13" customWidth="1"/>
    <col min="13" max="13" width="12.85546875" customWidth="1"/>
  </cols>
  <sheetData>
    <row r="1" spans="1:13" x14ac:dyDescent="0.25">
      <c r="A1" s="126" t="s">
        <v>243</v>
      </c>
      <c r="B1" s="126"/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</row>
    <row r="2" spans="1:13" x14ac:dyDescent="0.25">
      <c r="A2" s="126" t="s">
        <v>223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</row>
    <row r="3" spans="1:13" x14ac:dyDescent="0.25">
      <c r="A3" s="126" t="s">
        <v>253</v>
      </c>
      <c r="B3" s="126"/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</row>
    <row r="4" spans="1:13" ht="16.5" thickBot="1" x14ac:dyDescent="0.3">
      <c r="A4" s="129" t="s">
        <v>222</v>
      </c>
      <c r="B4" s="127" t="s">
        <v>247</v>
      </c>
      <c r="C4" s="128"/>
      <c r="D4" s="127" t="s">
        <v>221</v>
      </c>
      <c r="E4" s="128"/>
      <c r="F4" s="127" t="s">
        <v>246</v>
      </c>
      <c r="G4" s="128"/>
      <c r="H4" s="127" t="s">
        <v>220</v>
      </c>
      <c r="I4" s="128"/>
      <c r="J4" s="127" t="s">
        <v>219</v>
      </c>
      <c r="K4" s="128"/>
      <c r="L4" s="127" t="s">
        <v>218</v>
      </c>
      <c r="M4" s="128"/>
    </row>
    <row r="5" spans="1:13" ht="15.75" thickBot="1" x14ac:dyDescent="0.3">
      <c r="A5" s="130"/>
      <c r="B5" s="86" t="s">
        <v>217</v>
      </c>
      <c r="C5" s="87" t="s">
        <v>215</v>
      </c>
      <c r="D5" s="86" t="s">
        <v>217</v>
      </c>
      <c r="E5" s="87" t="s">
        <v>215</v>
      </c>
      <c r="F5" s="86" t="s">
        <v>217</v>
      </c>
      <c r="G5" s="87" t="s">
        <v>215</v>
      </c>
      <c r="H5" s="86" t="s">
        <v>217</v>
      </c>
      <c r="I5" s="87" t="s">
        <v>215</v>
      </c>
      <c r="J5" s="86" t="s">
        <v>216</v>
      </c>
      <c r="K5" s="87" t="s">
        <v>215</v>
      </c>
      <c r="L5" s="86" t="s">
        <v>216</v>
      </c>
      <c r="M5" s="87" t="s">
        <v>215</v>
      </c>
    </row>
    <row r="6" spans="1:13" x14ac:dyDescent="0.25">
      <c r="A6" s="88"/>
      <c r="B6" s="89"/>
      <c r="C6" s="90"/>
      <c r="D6" s="89"/>
      <c r="E6" s="90"/>
      <c r="F6" s="91"/>
      <c r="G6" s="92"/>
      <c r="H6" s="89"/>
      <c r="I6" s="90"/>
      <c r="J6" s="89"/>
      <c r="K6" s="90"/>
      <c r="L6" s="89"/>
      <c r="M6" s="90"/>
    </row>
    <row r="7" spans="1:13" x14ac:dyDescent="0.25">
      <c r="A7" s="88"/>
      <c r="B7" s="93"/>
      <c r="C7" s="94"/>
      <c r="D7" s="93"/>
      <c r="E7" s="94"/>
      <c r="F7" s="91"/>
      <c r="G7" s="92"/>
      <c r="H7" s="93"/>
      <c r="I7" s="94"/>
      <c r="J7" s="93"/>
      <c r="K7" s="94"/>
      <c r="L7" s="89"/>
      <c r="M7" s="94"/>
    </row>
    <row r="8" spans="1:13" x14ac:dyDescent="0.25">
      <c r="A8" s="88"/>
      <c r="B8" s="93"/>
      <c r="C8" s="94"/>
      <c r="D8" s="93"/>
      <c r="E8" s="94"/>
      <c r="F8" s="91"/>
      <c r="G8" s="92"/>
      <c r="H8" s="93"/>
      <c r="I8" s="94"/>
      <c r="J8" s="93"/>
      <c r="K8" s="94"/>
      <c r="L8" s="89"/>
      <c r="M8" s="94"/>
    </row>
    <row r="9" spans="1:13" x14ac:dyDescent="0.25">
      <c r="A9" s="88"/>
      <c r="B9" s="93"/>
      <c r="C9" s="94"/>
      <c r="D9" s="93"/>
      <c r="E9" s="94"/>
      <c r="F9" s="91"/>
      <c r="G9" s="92"/>
      <c r="H9" s="93"/>
      <c r="I9" s="94"/>
      <c r="J9" s="93"/>
      <c r="K9" s="94"/>
      <c r="L9" s="89"/>
      <c r="M9" s="94"/>
    </row>
    <row r="10" spans="1:13" x14ac:dyDescent="0.25">
      <c r="A10" s="88"/>
      <c r="B10" s="93"/>
      <c r="C10" s="94"/>
      <c r="D10" s="93"/>
      <c r="E10" s="94"/>
      <c r="F10" s="91"/>
      <c r="G10" s="95"/>
      <c r="H10" s="93"/>
      <c r="I10" s="94"/>
      <c r="J10" s="93"/>
      <c r="K10" s="94"/>
      <c r="L10" s="89"/>
      <c r="M10" s="94"/>
    </row>
    <row r="11" spans="1:13" x14ac:dyDescent="0.25">
      <c r="A11" s="88"/>
      <c r="B11" s="93"/>
      <c r="C11" s="94"/>
      <c r="D11" s="93"/>
      <c r="E11" s="94"/>
      <c r="F11" s="91"/>
      <c r="G11" s="95"/>
      <c r="H11" s="93"/>
      <c r="I11" s="94"/>
      <c r="J11" s="93"/>
      <c r="K11" s="94"/>
      <c r="L11" s="89"/>
      <c r="M11" s="94"/>
    </row>
    <row r="12" spans="1:13" x14ac:dyDescent="0.25">
      <c r="A12" s="96"/>
      <c r="B12" s="93"/>
      <c r="C12" s="94"/>
      <c r="D12" s="93"/>
      <c r="E12" s="94"/>
      <c r="F12" s="91"/>
      <c r="G12" s="95"/>
      <c r="H12" s="93"/>
      <c r="I12" s="94"/>
      <c r="J12" s="93"/>
      <c r="K12" s="94"/>
      <c r="L12" s="89"/>
      <c r="M12" s="94"/>
    </row>
    <row r="13" spans="1:13" x14ac:dyDescent="0.25">
      <c r="A13" s="88"/>
      <c r="B13" s="93"/>
      <c r="C13" s="94"/>
      <c r="D13" s="93"/>
      <c r="E13" s="94"/>
      <c r="F13" s="91"/>
      <c r="G13" s="95"/>
      <c r="H13" s="93"/>
      <c r="I13" s="94"/>
      <c r="J13" s="93"/>
      <c r="K13" s="94"/>
      <c r="L13" s="93"/>
      <c r="M13" s="94"/>
    </row>
    <row r="14" spans="1:13" x14ac:dyDescent="0.25">
      <c r="A14" s="88"/>
      <c r="B14" s="93"/>
      <c r="C14" s="94"/>
      <c r="D14" s="93"/>
      <c r="E14" s="94"/>
      <c r="F14" s="91"/>
      <c r="G14" s="95"/>
      <c r="H14" s="93"/>
      <c r="I14" s="94"/>
      <c r="J14" s="93"/>
      <c r="K14" s="94"/>
      <c r="L14" s="93"/>
      <c r="M14" s="94"/>
    </row>
    <row r="15" spans="1:13" x14ac:dyDescent="0.25">
      <c r="A15" s="88"/>
      <c r="B15" s="93"/>
      <c r="C15" s="94"/>
      <c r="D15" s="93"/>
      <c r="E15" s="94"/>
      <c r="F15" s="91"/>
      <c r="G15" s="94"/>
      <c r="H15" s="93"/>
      <c r="I15" s="94"/>
      <c r="J15" s="93"/>
      <c r="K15" s="94"/>
      <c r="L15" s="93"/>
      <c r="M15" s="94"/>
    </row>
    <row r="16" spans="1:13" x14ac:dyDescent="0.25">
      <c r="A16" s="88"/>
      <c r="B16" s="93"/>
      <c r="C16" s="94"/>
      <c r="D16" s="93"/>
      <c r="E16" s="94"/>
      <c r="F16" s="91"/>
      <c r="G16" s="95"/>
      <c r="H16" s="93"/>
      <c r="I16" s="94"/>
      <c r="J16" s="93"/>
      <c r="K16" s="94"/>
      <c r="L16" s="93"/>
      <c r="M16" s="94"/>
    </row>
    <row r="17" spans="1:14" x14ac:dyDescent="0.25">
      <c r="A17" s="88"/>
      <c r="B17" s="93"/>
      <c r="C17" s="94"/>
      <c r="D17" s="93"/>
      <c r="E17" s="94"/>
      <c r="F17" s="91"/>
      <c r="G17" s="94"/>
      <c r="H17" s="93"/>
      <c r="I17" s="94"/>
      <c r="J17" s="93"/>
      <c r="K17" s="94"/>
      <c r="L17" s="93"/>
      <c r="M17" s="94"/>
    </row>
    <row r="18" spans="1:14" x14ac:dyDescent="0.25">
      <c r="A18" s="88"/>
      <c r="B18" s="93"/>
      <c r="C18" s="94"/>
      <c r="D18" s="93"/>
      <c r="E18" s="94"/>
      <c r="F18" s="91"/>
      <c r="G18" s="94"/>
      <c r="H18" s="93"/>
      <c r="I18" s="94"/>
      <c r="J18" s="93"/>
      <c r="K18" s="94"/>
      <c r="L18" s="93"/>
      <c r="M18" s="94"/>
    </row>
    <row r="19" spans="1:14" x14ac:dyDescent="0.25">
      <c r="A19" s="96"/>
      <c r="B19" s="93"/>
      <c r="C19" s="94"/>
      <c r="D19" s="93"/>
      <c r="E19" s="94"/>
      <c r="F19" s="91"/>
      <c r="G19" s="111"/>
      <c r="H19" s="93"/>
      <c r="I19" s="94"/>
      <c r="J19" s="93"/>
      <c r="K19" s="94"/>
      <c r="L19" s="93"/>
      <c r="M19" s="94"/>
    </row>
    <row r="20" spans="1:14" x14ac:dyDescent="0.25">
      <c r="A20" s="96"/>
      <c r="B20" s="93"/>
      <c r="C20" s="94"/>
      <c r="D20" s="93"/>
      <c r="E20" s="94"/>
      <c r="F20" s="91"/>
      <c r="G20" s="111"/>
      <c r="H20" s="93"/>
      <c r="I20" s="94"/>
      <c r="J20" s="93"/>
      <c r="K20" s="94"/>
      <c r="L20" s="93"/>
      <c r="M20" s="94"/>
    </row>
    <row r="21" spans="1:14" x14ac:dyDescent="0.25">
      <c r="A21" s="96"/>
      <c r="B21" s="93"/>
      <c r="C21" s="94"/>
      <c r="D21" s="93"/>
      <c r="E21" s="94"/>
      <c r="F21" s="91"/>
      <c r="G21" s="111"/>
      <c r="H21" s="93"/>
      <c r="I21" s="94"/>
      <c r="J21" s="93"/>
      <c r="K21" s="94"/>
      <c r="L21" s="93"/>
      <c r="M21" s="94"/>
    </row>
    <row r="22" spans="1:14" x14ac:dyDescent="0.25">
      <c r="A22" s="96"/>
      <c r="B22" s="93"/>
      <c r="C22" s="94"/>
      <c r="D22" s="93"/>
      <c r="E22" s="94"/>
      <c r="F22" s="91"/>
      <c r="G22" s="114"/>
      <c r="H22" s="93"/>
      <c r="I22" s="94"/>
      <c r="J22" s="93"/>
      <c r="K22" s="94"/>
      <c r="L22" s="93"/>
      <c r="M22" s="94"/>
    </row>
    <row r="23" spans="1:14" x14ac:dyDescent="0.25">
      <c r="A23" s="88"/>
      <c r="B23" s="93"/>
      <c r="C23" s="94"/>
      <c r="D23" s="93"/>
      <c r="E23" s="94"/>
      <c r="F23" s="112"/>
      <c r="G23" s="111"/>
      <c r="H23" s="93"/>
      <c r="I23" s="94"/>
      <c r="J23" s="93"/>
      <c r="K23" s="94"/>
      <c r="L23" s="93"/>
      <c r="M23" s="94"/>
    </row>
    <row r="24" spans="1:14" x14ac:dyDescent="0.25">
      <c r="A24" s="115"/>
      <c r="B24" s="93"/>
      <c r="C24" s="94"/>
      <c r="D24" s="110"/>
      <c r="E24" s="101"/>
      <c r="F24" s="113"/>
      <c r="G24" s="109"/>
      <c r="H24" s="108"/>
      <c r="I24" s="101"/>
      <c r="J24" s="108"/>
      <c r="K24" s="101"/>
      <c r="L24" s="108"/>
      <c r="M24" s="101"/>
    </row>
    <row r="25" spans="1:14" x14ac:dyDescent="0.25">
      <c r="A25" s="115"/>
      <c r="B25" s="116"/>
      <c r="C25" s="116"/>
      <c r="D25" s="116"/>
      <c r="E25" s="116"/>
      <c r="F25" s="117"/>
      <c r="G25" s="116"/>
      <c r="H25" s="116"/>
      <c r="I25" s="116"/>
      <c r="J25" s="116"/>
      <c r="K25" s="116"/>
      <c r="L25" s="116"/>
      <c r="M25" s="116"/>
      <c r="N25" s="118"/>
    </row>
    <row r="26" spans="1:14" x14ac:dyDescent="0.25">
      <c r="A26" s="103"/>
      <c r="B26" s="102"/>
      <c r="C26" s="102"/>
      <c r="D26" s="102"/>
      <c r="E26" s="102"/>
      <c r="F26" s="102"/>
      <c r="G26" s="102"/>
      <c r="H26" s="102"/>
      <c r="I26" s="102"/>
      <c r="J26" s="102"/>
      <c r="K26" s="104"/>
      <c r="L26" s="102"/>
      <c r="M26" s="102"/>
    </row>
    <row r="27" spans="1:14" x14ac:dyDescent="0.25">
      <c r="A27" s="105"/>
      <c r="B27" s="106"/>
      <c r="C27" s="106"/>
      <c r="D27" s="106"/>
      <c r="E27" s="106"/>
      <c r="F27" s="107"/>
      <c r="G27" s="107"/>
      <c r="H27" s="106"/>
      <c r="I27" s="106"/>
      <c r="J27" s="106"/>
      <c r="K27" s="106"/>
      <c r="L27" s="106"/>
      <c r="M27" s="106"/>
    </row>
  </sheetData>
  <mergeCells count="10">
    <mergeCell ref="A1:M1"/>
    <mergeCell ref="A2:M2"/>
    <mergeCell ref="A3:M3"/>
    <mergeCell ref="L4:M4"/>
    <mergeCell ref="A4:A5"/>
    <mergeCell ref="D4:E4"/>
    <mergeCell ref="F4:G4"/>
    <mergeCell ref="H4:I4"/>
    <mergeCell ref="B4:C4"/>
    <mergeCell ref="J4:K4"/>
  </mergeCells>
  <pageMargins left="0.7" right="0.7" top="0.75" bottom="0.75" header="0.3" footer="0.3"/>
  <pageSetup scale="63" orientation="landscape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CosteoProducto">
    <tabColor rgb="FFDDFFE1"/>
  </sheetPr>
  <dimension ref="A5:P252"/>
  <sheetViews>
    <sheetView workbookViewId="0">
      <selection activeCell="I17" sqref="I17"/>
    </sheetView>
  </sheetViews>
  <sheetFormatPr baseColWidth="10" defaultRowHeight="15" x14ac:dyDescent="0.25"/>
  <cols>
    <col min="1" max="1" width="22.28515625" bestFit="1" customWidth="1"/>
    <col min="2" max="2" width="12" customWidth="1"/>
    <col min="6" max="6" width="23.28515625" bestFit="1" customWidth="1"/>
    <col min="7" max="7" width="17.140625" bestFit="1" customWidth="1"/>
    <col min="9" max="9" width="21.28515625" bestFit="1" customWidth="1"/>
    <col min="12" max="12" width="22.28515625" bestFit="1" customWidth="1"/>
    <col min="13" max="13" width="22.85546875" bestFit="1" customWidth="1"/>
    <col min="14" max="14" width="15.5703125" bestFit="1" customWidth="1"/>
    <col min="15" max="16" width="12" customWidth="1"/>
  </cols>
  <sheetData>
    <row r="5" spans="1:16" x14ac:dyDescent="0.25">
      <c r="A5" t="s">
        <v>199</v>
      </c>
      <c r="B5" t="s">
        <v>200</v>
      </c>
      <c r="F5" t="s">
        <v>197</v>
      </c>
      <c r="G5" t="s">
        <v>198</v>
      </c>
      <c r="I5" t="s">
        <v>206</v>
      </c>
      <c r="J5" t="s">
        <v>196</v>
      </c>
      <c r="L5" t="s">
        <v>209</v>
      </c>
      <c r="M5" t="s">
        <v>210</v>
      </c>
      <c r="N5" t="s">
        <v>211</v>
      </c>
      <c r="O5" t="s">
        <v>212</v>
      </c>
      <c r="P5" t="s">
        <v>213</v>
      </c>
    </row>
    <row r="6" spans="1:16" x14ac:dyDescent="0.25">
      <c r="B6" s="33"/>
      <c r="G6" s="76"/>
      <c r="I6" t="s">
        <v>207</v>
      </c>
      <c r="J6">
        <v>350</v>
      </c>
      <c r="L6" t="s">
        <v>214</v>
      </c>
      <c r="M6">
        <v>100</v>
      </c>
      <c r="N6" s="33">
        <v>196.761</v>
      </c>
      <c r="O6" s="33">
        <v>250</v>
      </c>
      <c r="P6" s="33">
        <v>186.15041666666664</v>
      </c>
    </row>
    <row r="7" spans="1:16" x14ac:dyDescent="0.25">
      <c r="B7" s="33"/>
      <c r="G7" s="76"/>
      <c r="I7" t="s">
        <v>201</v>
      </c>
      <c r="J7">
        <v>100</v>
      </c>
      <c r="N7" s="33">
        <v>0</v>
      </c>
      <c r="O7" s="33">
        <v>0</v>
      </c>
      <c r="P7" s="33">
        <v>0</v>
      </c>
    </row>
    <row r="8" spans="1:16" x14ac:dyDescent="0.25">
      <c r="B8" s="33"/>
      <c r="F8" s="76"/>
      <c r="G8" s="76"/>
      <c r="I8" t="s">
        <v>202</v>
      </c>
      <c r="J8">
        <v>100</v>
      </c>
      <c r="N8" s="33"/>
      <c r="O8" s="33"/>
      <c r="P8" s="33"/>
    </row>
    <row r="9" spans="1:16" x14ac:dyDescent="0.25">
      <c r="B9" s="33"/>
      <c r="G9" s="76"/>
      <c r="I9" t="s">
        <v>203</v>
      </c>
      <c r="J9">
        <v>150</v>
      </c>
      <c r="N9" s="33"/>
      <c r="O9" s="33"/>
      <c r="P9" s="33"/>
    </row>
    <row r="10" spans="1:16" x14ac:dyDescent="0.25">
      <c r="B10" s="33"/>
      <c r="G10" s="76"/>
      <c r="I10" t="s">
        <v>204</v>
      </c>
      <c r="J10">
        <v>75</v>
      </c>
      <c r="N10" s="33"/>
      <c r="O10" s="33"/>
      <c r="P10" s="33"/>
    </row>
    <row r="11" spans="1:16" x14ac:dyDescent="0.25">
      <c r="B11" s="33"/>
      <c r="G11" s="76"/>
      <c r="I11" t="s">
        <v>205</v>
      </c>
      <c r="J11">
        <v>50</v>
      </c>
      <c r="N11" s="33"/>
      <c r="O11" s="33"/>
      <c r="P11" s="33"/>
    </row>
    <row r="12" spans="1:16" x14ac:dyDescent="0.25">
      <c r="B12" s="33"/>
      <c r="G12" s="76"/>
      <c r="I12" t="s">
        <v>208</v>
      </c>
      <c r="J12">
        <v>25</v>
      </c>
      <c r="N12" s="33"/>
      <c r="O12" s="33"/>
      <c r="P12" s="33"/>
    </row>
    <row r="13" spans="1:16" x14ac:dyDescent="0.25">
      <c r="B13" s="33"/>
      <c r="G13" s="76"/>
      <c r="N13" s="33"/>
      <c r="O13" s="33"/>
      <c r="P13" s="33"/>
    </row>
    <row r="14" spans="1:16" x14ac:dyDescent="0.25">
      <c r="B14" s="33"/>
      <c r="G14" s="76"/>
      <c r="N14" s="33"/>
      <c r="O14" s="33"/>
      <c r="P14" s="33"/>
    </row>
    <row r="15" spans="1:16" x14ac:dyDescent="0.25">
      <c r="B15" s="33"/>
      <c r="G15" s="76"/>
      <c r="N15" s="33"/>
      <c r="O15" s="33"/>
      <c r="P15" s="33"/>
    </row>
    <row r="16" spans="1:16" x14ac:dyDescent="0.25">
      <c r="B16" s="33"/>
      <c r="G16" s="76"/>
      <c r="N16" s="33"/>
      <c r="O16" s="33"/>
      <c r="P16" s="33"/>
    </row>
    <row r="17" spans="2:16" x14ac:dyDescent="0.25">
      <c r="B17" s="33"/>
      <c r="G17" s="76"/>
      <c r="N17" s="33"/>
      <c r="O17" s="33"/>
      <c r="P17" s="33"/>
    </row>
    <row r="18" spans="2:16" x14ac:dyDescent="0.25">
      <c r="B18" s="33"/>
      <c r="D18" s="33"/>
      <c r="G18" s="76"/>
      <c r="N18" s="33"/>
      <c r="O18" s="33"/>
      <c r="P18" s="33"/>
    </row>
    <row r="19" spans="2:16" x14ac:dyDescent="0.25">
      <c r="B19" s="33"/>
      <c r="G19" s="76"/>
      <c r="N19" s="33"/>
      <c r="O19" s="33"/>
      <c r="P19" s="33"/>
    </row>
    <row r="20" spans="2:16" x14ac:dyDescent="0.25">
      <c r="B20" s="33"/>
      <c r="G20" s="76"/>
      <c r="N20" s="33"/>
      <c r="O20" s="33"/>
      <c r="P20" s="33"/>
    </row>
    <row r="21" spans="2:16" x14ac:dyDescent="0.25">
      <c r="B21" s="33"/>
      <c r="G21" s="76"/>
      <c r="N21" s="33"/>
      <c r="O21" s="33"/>
      <c r="P21" s="33"/>
    </row>
    <row r="22" spans="2:16" x14ac:dyDescent="0.25">
      <c r="B22" s="33"/>
      <c r="G22" s="76"/>
      <c r="N22" s="33"/>
      <c r="O22" s="33"/>
      <c r="P22" s="33"/>
    </row>
    <row r="23" spans="2:16" x14ac:dyDescent="0.25">
      <c r="B23" s="33"/>
      <c r="G23" s="76"/>
      <c r="N23" s="33"/>
      <c r="O23" s="33"/>
      <c r="P23" s="33"/>
    </row>
    <row r="24" spans="2:16" x14ac:dyDescent="0.25">
      <c r="B24" s="33"/>
      <c r="G24" s="76"/>
      <c r="N24" s="33"/>
      <c r="O24" s="33"/>
      <c r="P24" s="33"/>
    </row>
    <row r="25" spans="2:16" x14ac:dyDescent="0.25">
      <c r="B25" s="33"/>
      <c r="G25" s="76"/>
      <c r="N25" s="33"/>
      <c r="O25" s="33"/>
      <c r="P25" s="33"/>
    </row>
    <row r="26" spans="2:16" x14ac:dyDescent="0.25">
      <c r="B26" s="33"/>
      <c r="G26" s="76"/>
      <c r="N26" s="33"/>
      <c r="O26" s="33"/>
      <c r="P26" s="33"/>
    </row>
    <row r="27" spans="2:16" x14ac:dyDescent="0.25">
      <c r="B27" s="33"/>
      <c r="G27" s="76"/>
      <c r="N27" s="33"/>
      <c r="O27" s="33"/>
      <c r="P27" s="33"/>
    </row>
    <row r="28" spans="2:16" x14ac:dyDescent="0.25">
      <c r="B28" s="33"/>
      <c r="G28" s="76"/>
      <c r="N28" s="33"/>
      <c r="O28" s="33"/>
      <c r="P28" s="33"/>
    </row>
    <row r="29" spans="2:16" x14ac:dyDescent="0.25">
      <c r="B29" s="33"/>
      <c r="G29" s="76"/>
      <c r="N29" s="33"/>
      <c r="O29" s="33"/>
      <c r="P29" s="33"/>
    </row>
    <row r="30" spans="2:16" x14ac:dyDescent="0.25">
      <c r="B30" s="33"/>
      <c r="G30" s="76"/>
      <c r="N30" s="33"/>
      <c r="O30" s="33"/>
      <c r="P30" s="33"/>
    </row>
    <row r="31" spans="2:16" x14ac:dyDescent="0.25">
      <c r="B31" s="33"/>
      <c r="G31" s="76"/>
      <c r="N31" s="33"/>
      <c r="O31" s="33"/>
      <c r="P31" s="33"/>
    </row>
    <row r="32" spans="2:16" x14ac:dyDescent="0.25">
      <c r="B32" s="33"/>
      <c r="G32" s="76"/>
      <c r="N32" s="33"/>
      <c r="O32" s="33"/>
      <c r="P32" s="33"/>
    </row>
    <row r="33" spans="2:16" x14ac:dyDescent="0.25">
      <c r="B33" s="33"/>
      <c r="G33" s="76"/>
      <c r="N33" s="33"/>
      <c r="O33" s="33"/>
      <c r="P33" s="33"/>
    </row>
    <row r="34" spans="2:16" x14ac:dyDescent="0.25">
      <c r="B34" s="33"/>
      <c r="G34" s="76"/>
      <c r="N34" s="33"/>
      <c r="O34" s="33"/>
      <c r="P34" s="33"/>
    </row>
    <row r="35" spans="2:16" x14ac:dyDescent="0.25">
      <c r="B35" s="33"/>
      <c r="G35" s="76"/>
      <c r="N35" s="33"/>
      <c r="O35" s="33"/>
      <c r="P35" s="33"/>
    </row>
    <row r="36" spans="2:16" x14ac:dyDescent="0.25">
      <c r="B36" s="33"/>
      <c r="G36" s="76"/>
      <c r="N36" s="33"/>
      <c r="O36" s="33"/>
      <c r="P36" s="33"/>
    </row>
    <row r="37" spans="2:16" x14ac:dyDescent="0.25">
      <c r="B37" s="33"/>
      <c r="G37" s="76"/>
      <c r="N37" s="33"/>
      <c r="O37" s="33"/>
      <c r="P37" s="33"/>
    </row>
    <row r="38" spans="2:16" x14ac:dyDescent="0.25">
      <c r="B38" s="33"/>
      <c r="G38" s="76"/>
      <c r="N38" s="33"/>
      <c r="O38" s="33"/>
      <c r="P38" s="33"/>
    </row>
    <row r="39" spans="2:16" x14ac:dyDescent="0.25">
      <c r="B39" s="33"/>
      <c r="G39" s="76"/>
      <c r="N39" s="33"/>
      <c r="O39" s="33"/>
      <c r="P39" s="33"/>
    </row>
    <row r="40" spans="2:16" x14ac:dyDescent="0.25">
      <c r="B40" s="33"/>
      <c r="G40" s="76"/>
      <c r="N40" s="33"/>
      <c r="O40" s="33"/>
      <c r="P40" s="33"/>
    </row>
    <row r="41" spans="2:16" x14ac:dyDescent="0.25">
      <c r="B41" s="33"/>
      <c r="G41" s="76"/>
      <c r="N41" s="33"/>
      <c r="O41" s="33"/>
      <c r="P41" s="33"/>
    </row>
    <row r="42" spans="2:16" x14ac:dyDescent="0.25">
      <c r="B42" s="33"/>
      <c r="G42" s="76"/>
      <c r="N42" s="33"/>
      <c r="O42" s="33"/>
      <c r="P42" s="33"/>
    </row>
    <row r="43" spans="2:16" x14ac:dyDescent="0.25">
      <c r="B43" s="33"/>
      <c r="G43" s="76"/>
      <c r="N43" s="33"/>
      <c r="O43" s="33"/>
      <c r="P43" s="33"/>
    </row>
    <row r="44" spans="2:16" x14ac:dyDescent="0.25">
      <c r="B44" s="33"/>
      <c r="G44" s="76"/>
      <c r="N44" s="33"/>
      <c r="O44" s="33"/>
      <c r="P44" s="33"/>
    </row>
    <row r="45" spans="2:16" x14ac:dyDescent="0.25">
      <c r="B45" s="33"/>
      <c r="G45" s="76"/>
      <c r="N45" s="33"/>
      <c r="O45" s="33"/>
      <c r="P45" s="33"/>
    </row>
    <row r="46" spans="2:16" x14ac:dyDescent="0.25">
      <c r="B46" s="33"/>
      <c r="G46" s="76"/>
      <c r="N46" s="33"/>
      <c r="O46" s="33"/>
      <c r="P46" s="33"/>
    </row>
    <row r="47" spans="2:16" x14ac:dyDescent="0.25">
      <c r="B47" s="33"/>
      <c r="G47" s="76"/>
      <c r="N47" s="33"/>
      <c r="O47" s="33"/>
      <c r="P47" s="33"/>
    </row>
    <row r="48" spans="2:16" x14ac:dyDescent="0.25">
      <c r="B48" s="33"/>
      <c r="G48" s="76"/>
      <c r="N48" s="33"/>
      <c r="O48" s="33"/>
      <c r="P48" s="33"/>
    </row>
    <row r="49" spans="2:16" x14ac:dyDescent="0.25">
      <c r="B49" s="33"/>
      <c r="G49" s="76"/>
      <c r="N49" s="33"/>
      <c r="O49" s="33"/>
      <c r="P49" s="33"/>
    </row>
    <row r="50" spans="2:16" x14ac:dyDescent="0.25">
      <c r="B50" s="33"/>
      <c r="G50" s="76"/>
      <c r="N50" s="33"/>
      <c r="O50" s="33"/>
      <c r="P50" s="33"/>
    </row>
    <row r="51" spans="2:16" x14ac:dyDescent="0.25">
      <c r="B51" s="33"/>
      <c r="G51" s="76"/>
      <c r="N51" s="33"/>
      <c r="O51" s="33"/>
      <c r="P51" s="33"/>
    </row>
    <row r="52" spans="2:16" x14ac:dyDescent="0.25">
      <c r="B52" s="33"/>
      <c r="G52" s="76"/>
      <c r="N52" s="33"/>
      <c r="O52" s="33"/>
      <c r="P52" s="33"/>
    </row>
    <row r="53" spans="2:16" x14ac:dyDescent="0.25">
      <c r="B53" s="33"/>
      <c r="G53" s="76"/>
      <c r="N53" s="33"/>
      <c r="O53" s="33"/>
      <c r="P53" s="33"/>
    </row>
    <row r="54" spans="2:16" x14ac:dyDescent="0.25">
      <c r="B54" s="33"/>
      <c r="G54" s="76"/>
      <c r="N54" s="33"/>
      <c r="O54" s="33"/>
      <c r="P54" s="33"/>
    </row>
    <row r="55" spans="2:16" x14ac:dyDescent="0.25">
      <c r="B55" s="33"/>
      <c r="G55" s="76"/>
      <c r="N55" s="33"/>
      <c r="O55" s="33"/>
      <c r="P55" s="33"/>
    </row>
    <row r="56" spans="2:16" x14ac:dyDescent="0.25">
      <c r="B56" s="33"/>
      <c r="G56" s="76"/>
      <c r="N56" s="33"/>
      <c r="O56" s="33"/>
      <c r="P56" s="33"/>
    </row>
    <row r="57" spans="2:16" x14ac:dyDescent="0.25">
      <c r="B57" s="33"/>
      <c r="G57" s="76"/>
      <c r="N57" s="33"/>
      <c r="O57" s="33"/>
      <c r="P57" s="33"/>
    </row>
    <row r="58" spans="2:16" x14ac:dyDescent="0.25">
      <c r="B58" s="33"/>
      <c r="G58" s="76"/>
      <c r="N58" s="33"/>
      <c r="O58" s="33"/>
      <c r="P58" s="33"/>
    </row>
    <row r="59" spans="2:16" x14ac:dyDescent="0.25">
      <c r="B59" s="33"/>
      <c r="G59" s="76"/>
      <c r="N59" s="33"/>
      <c r="O59" s="33"/>
      <c r="P59" s="33"/>
    </row>
    <row r="60" spans="2:16" x14ac:dyDescent="0.25">
      <c r="B60" s="33"/>
      <c r="G60" s="76"/>
      <c r="N60" s="33"/>
      <c r="O60" s="33"/>
      <c r="P60" s="33"/>
    </row>
    <row r="61" spans="2:16" x14ac:dyDescent="0.25">
      <c r="B61" s="33"/>
      <c r="G61" s="76"/>
      <c r="N61" s="33"/>
      <c r="O61" s="33"/>
      <c r="P61" s="33"/>
    </row>
    <row r="62" spans="2:16" x14ac:dyDescent="0.25">
      <c r="B62" s="33"/>
      <c r="G62" s="76"/>
      <c r="N62" s="33"/>
      <c r="O62" s="33"/>
      <c r="P62" s="33"/>
    </row>
    <row r="63" spans="2:16" x14ac:dyDescent="0.25">
      <c r="B63" s="33"/>
      <c r="G63" s="76"/>
      <c r="N63" s="33"/>
      <c r="O63" s="33"/>
      <c r="P63" s="33"/>
    </row>
    <row r="64" spans="2:16" x14ac:dyDescent="0.25">
      <c r="B64" s="33"/>
      <c r="G64" s="76"/>
      <c r="N64" s="33"/>
      <c r="O64" s="33"/>
      <c r="P64" s="33"/>
    </row>
    <row r="65" spans="2:16" x14ac:dyDescent="0.25">
      <c r="B65" s="33"/>
      <c r="G65" s="76"/>
      <c r="N65" s="33"/>
      <c r="O65" s="33"/>
      <c r="P65" s="33"/>
    </row>
    <row r="66" spans="2:16" x14ac:dyDescent="0.25">
      <c r="B66" s="33"/>
      <c r="G66" s="76"/>
      <c r="N66" s="33"/>
      <c r="O66" s="33"/>
      <c r="P66" s="33"/>
    </row>
    <row r="67" spans="2:16" x14ac:dyDescent="0.25">
      <c r="B67" s="33"/>
      <c r="G67" s="76"/>
      <c r="N67" s="33"/>
      <c r="O67" s="33"/>
      <c r="P67" s="33"/>
    </row>
    <row r="68" spans="2:16" x14ac:dyDescent="0.25">
      <c r="B68" s="33"/>
      <c r="G68" s="76"/>
      <c r="N68" s="33"/>
      <c r="O68" s="33"/>
      <c r="P68" s="33"/>
    </row>
    <row r="69" spans="2:16" x14ac:dyDescent="0.25">
      <c r="B69" s="33"/>
      <c r="G69" s="76"/>
      <c r="N69" s="33"/>
      <c r="O69" s="33"/>
      <c r="P69" s="33"/>
    </row>
    <row r="70" spans="2:16" x14ac:dyDescent="0.25">
      <c r="B70" s="33"/>
      <c r="G70" s="76"/>
      <c r="N70" s="33"/>
      <c r="O70" s="33"/>
      <c r="P70" s="33"/>
    </row>
    <row r="71" spans="2:16" x14ac:dyDescent="0.25">
      <c r="B71" s="33"/>
      <c r="G71" s="76"/>
      <c r="N71" s="33"/>
      <c r="O71" s="33"/>
      <c r="P71" s="33"/>
    </row>
    <row r="72" spans="2:16" x14ac:dyDescent="0.25">
      <c r="B72" s="33"/>
      <c r="G72" s="76"/>
      <c r="N72" s="33"/>
      <c r="O72" s="33"/>
      <c r="P72" s="33"/>
    </row>
    <row r="73" spans="2:16" x14ac:dyDescent="0.25">
      <c r="B73" s="33"/>
      <c r="G73" s="76"/>
      <c r="N73" s="33"/>
      <c r="O73" s="33"/>
      <c r="P73" s="33"/>
    </row>
    <row r="74" spans="2:16" x14ac:dyDescent="0.25">
      <c r="B74" s="33"/>
      <c r="G74" s="76"/>
      <c r="N74" s="33"/>
      <c r="O74" s="33"/>
      <c r="P74" s="33"/>
    </row>
    <row r="75" spans="2:16" x14ac:dyDescent="0.25">
      <c r="B75" s="33"/>
      <c r="G75" s="76"/>
      <c r="N75" s="33"/>
      <c r="O75" s="33"/>
      <c r="P75" s="33"/>
    </row>
    <row r="76" spans="2:16" x14ac:dyDescent="0.25">
      <c r="B76" s="33"/>
      <c r="G76" s="76"/>
      <c r="N76" s="33"/>
      <c r="O76" s="33"/>
      <c r="P76" s="33"/>
    </row>
    <row r="77" spans="2:16" x14ac:dyDescent="0.25">
      <c r="B77" s="33"/>
      <c r="G77" s="76"/>
      <c r="N77" s="33"/>
      <c r="O77" s="33"/>
      <c r="P77" s="33"/>
    </row>
    <row r="78" spans="2:16" x14ac:dyDescent="0.25">
      <c r="B78" s="33"/>
      <c r="G78" s="76"/>
      <c r="N78" s="33"/>
      <c r="O78" s="33"/>
      <c r="P78" s="33"/>
    </row>
    <row r="79" spans="2:16" x14ac:dyDescent="0.25">
      <c r="B79" s="33"/>
      <c r="G79" s="76"/>
      <c r="N79" s="33"/>
      <c r="O79" s="33"/>
      <c r="P79" s="33"/>
    </row>
    <row r="80" spans="2:16" x14ac:dyDescent="0.25">
      <c r="B80" s="33"/>
      <c r="G80" s="76"/>
      <c r="N80" s="33"/>
      <c r="O80" s="33"/>
      <c r="P80" s="33"/>
    </row>
    <row r="81" spans="2:16" x14ac:dyDescent="0.25">
      <c r="B81" s="33"/>
      <c r="G81" s="76"/>
      <c r="N81" s="33"/>
      <c r="O81" s="33"/>
      <c r="P81" s="33"/>
    </row>
    <row r="82" spans="2:16" x14ac:dyDescent="0.25">
      <c r="B82" s="33"/>
      <c r="G82" s="76"/>
      <c r="N82" s="33"/>
      <c r="O82" s="33"/>
      <c r="P82" s="33"/>
    </row>
    <row r="83" spans="2:16" x14ac:dyDescent="0.25">
      <c r="B83" s="33"/>
      <c r="G83" s="76"/>
      <c r="N83" s="33"/>
      <c r="O83" s="33"/>
      <c r="P83" s="33"/>
    </row>
    <row r="84" spans="2:16" x14ac:dyDescent="0.25">
      <c r="B84" s="33"/>
      <c r="G84" s="76"/>
      <c r="N84" s="33"/>
      <c r="O84" s="33"/>
      <c r="P84" s="33"/>
    </row>
    <row r="85" spans="2:16" x14ac:dyDescent="0.25">
      <c r="B85" s="33"/>
      <c r="G85" s="76"/>
      <c r="N85" s="33"/>
      <c r="O85" s="33"/>
      <c r="P85" s="33"/>
    </row>
    <row r="86" spans="2:16" x14ac:dyDescent="0.25">
      <c r="B86" s="33"/>
      <c r="G86" s="76"/>
      <c r="N86" s="33"/>
      <c r="O86" s="33"/>
      <c r="P86" s="33"/>
    </row>
    <row r="87" spans="2:16" x14ac:dyDescent="0.25">
      <c r="B87" s="33"/>
      <c r="G87" s="76"/>
      <c r="N87" s="33"/>
      <c r="O87" s="33"/>
      <c r="P87" s="33"/>
    </row>
    <row r="88" spans="2:16" x14ac:dyDescent="0.25">
      <c r="B88" s="33"/>
      <c r="G88" s="76"/>
      <c r="N88" s="33"/>
      <c r="O88" s="33"/>
      <c r="P88" s="33"/>
    </row>
    <row r="89" spans="2:16" x14ac:dyDescent="0.25">
      <c r="B89" s="33"/>
      <c r="G89" s="76"/>
      <c r="N89" s="33"/>
      <c r="O89" s="33"/>
      <c r="P89" s="33"/>
    </row>
    <row r="90" spans="2:16" x14ac:dyDescent="0.25">
      <c r="B90" s="33"/>
      <c r="G90" s="76"/>
      <c r="N90" s="33"/>
      <c r="O90" s="33"/>
      <c r="P90" s="33"/>
    </row>
    <row r="91" spans="2:16" x14ac:dyDescent="0.25">
      <c r="B91" s="33"/>
      <c r="G91" s="76"/>
      <c r="N91" s="33"/>
      <c r="O91" s="33"/>
      <c r="P91" s="33"/>
    </row>
    <row r="92" spans="2:16" x14ac:dyDescent="0.25">
      <c r="B92" s="33"/>
      <c r="G92" s="76"/>
      <c r="N92" s="33"/>
      <c r="O92" s="33"/>
      <c r="P92" s="33"/>
    </row>
    <row r="93" spans="2:16" x14ac:dyDescent="0.25">
      <c r="B93" s="33"/>
      <c r="G93" s="76"/>
      <c r="N93" s="33"/>
      <c r="O93" s="33"/>
      <c r="P93" s="33"/>
    </row>
    <row r="94" spans="2:16" x14ac:dyDescent="0.25">
      <c r="B94" s="33"/>
      <c r="G94" s="76"/>
      <c r="N94" s="33"/>
      <c r="O94" s="33"/>
      <c r="P94" s="33"/>
    </row>
    <row r="95" spans="2:16" x14ac:dyDescent="0.25">
      <c r="B95" s="33"/>
      <c r="G95" s="76"/>
      <c r="N95" s="33"/>
      <c r="O95" s="33"/>
      <c r="P95" s="33"/>
    </row>
    <row r="96" spans="2:16" x14ac:dyDescent="0.25">
      <c r="B96" s="33"/>
      <c r="G96" s="76"/>
      <c r="N96" s="33"/>
      <c r="O96" s="33"/>
      <c r="P96" s="33"/>
    </row>
    <row r="97" spans="2:16" x14ac:dyDescent="0.25">
      <c r="B97" s="33"/>
      <c r="G97" s="76"/>
      <c r="N97" s="33"/>
      <c r="O97" s="33"/>
      <c r="P97" s="33"/>
    </row>
    <row r="98" spans="2:16" x14ac:dyDescent="0.25">
      <c r="B98" s="33"/>
      <c r="G98" s="76"/>
      <c r="N98" s="33"/>
      <c r="O98" s="33"/>
      <c r="P98" s="33"/>
    </row>
    <row r="99" spans="2:16" x14ac:dyDescent="0.25">
      <c r="B99" s="33"/>
      <c r="G99" s="76"/>
      <c r="N99" s="33"/>
      <c r="O99" s="33"/>
      <c r="P99" s="33"/>
    </row>
    <row r="100" spans="2:16" x14ac:dyDescent="0.25">
      <c r="B100" s="33"/>
      <c r="G100" s="76"/>
      <c r="N100" s="33"/>
      <c r="O100" s="33"/>
      <c r="P100" s="33"/>
    </row>
    <row r="101" spans="2:16" x14ac:dyDescent="0.25">
      <c r="B101" s="33"/>
      <c r="G101" s="76"/>
      <c r="N101" s="33"/>
      <c r="O101" s="33"/>
      <c r="P101" s="33"/>
    </row>
    <row r="102" spans="2:16" x14ac:dyDescent="0.25">
      <c r="B102" s="33"/>
      <c r="G102" s="76"/>
      <c r="N102" s="33"/>
      <c r="O102" s="33"/>
      <c r="P102" s="33"/>
    </row>
    <row r="103" spans="2:16" x14ac:dyDescent="0.25">
      <c r="B103" s="33"/>
      <c r="G103" s="76"/>
      <c r="N103" s="33"/>
      <c r="O103" s="33"/>
      <c r="P103" s="33"/>
    </row>
    <row r="104" spans="2:16" x14ac:dyDescent="0.25">
      <c r="B104" s="33"/>
      <c r="G104" s="76"/>
      <c r="N104" s="33"/>
      <c r="O104" s="33"/>
      <c r="P104" s="33"/>
    </row>
    <row r="105" spans="2:16" x14ac:dyDescent="0.25">
      <c r="B105" s="33"/>
      <c r="G105" s="76"/>
      <c r="N105" s="33"/>
      <c r="O105" s="33"/>
      <c r="P105" s="33"/>
    </row>
    <row r="106" spans="2:16" x14ac:dyDescent="0.25">
      <c r="B106" s="33"/>
      <c r="G106" s="76"/>
      <c r="N106" s="33"/>
      <c r="O106" s="33"/>
      <c r="P106" s="33"/>
    </row>
    <row r="107" spans="2:16" x14ac:dyDescent="0.25">
      <c r="B107" s="33"/>
      <c r="G107" s="76"/>
      <c r="N107" s="33"/>
      <c r="O107" s="33"/>
      <c r="P107" s="33"/>
    </row>
    <row r="108" spans="2:16" x14ac:dyDescent="0.25">
      <c r="B108" s="33"/>
      <c r="G108" s="76"/>
      <c r="N108" s="33"/>
      <c r="O108" s="33"/>
      <c r="P108" s="33"/>
    </row>
    <row r="109" spans="2:16" x14ac:dyDescent="0.25">
      <c r="B109" s="33"/>
      <c r="G109" s="76"/>
      <c r="N109" s="33"/>
      <c r="O109" s="33"/>
      <c r="P109" s="33"/>
    </row>
    <row r="110" spans="2:16" x14ac:dyDescent="0.25">
      <c r="B110" s="33"/>
      <c r="G110" s="76"/>
      <c r="N110" s="33"/>
      <c r="O110" s="33"/>
      <c r="P110" s="33"/>
    </row>
    <row r="111" spans="2:16" x14ac:dyDescent="0.25">
      <c r="B111" s="33"/>
      <c r="G111" s="76"/>
      <c r="N111" s="33"/>
      <c r="O111" s="33"/>
      <c r="P111" s="33"/>
    </row>
    <row r="112" spans="2:16" x14ac:dyDescent="0.25">
      <c r="B112" s="33"/>
      <c r="G112" s="76"/>
      <c r="N112" s="33"/>
      <c r="O112" s="33"/>
      <c r="P112" s="33"/>
    </row>
    <row r="113" spans="2:16" x14ac:dyDescent="0.25">
      <c r="B113" s="33"/>
      <c r="G113" s="76"/>
      <c r="N113" s="33"/>
      <c r="O113" s="33"/>
      <c r="P113" s="33"/>
    </row>
    <row r="114" spans="2:16" x14ac:dyDescent="0.25">
      <c r="B114" s="33"/>
      <c r="G114" s="76"/>
      <c r="N114" s="33"/>
      <c r="O114" s="33"/>
      <c r="P114" s="33"/>
    </row>
    <row r="115" spans="2:16" x14ac:dyDescent="0.25">
      <c r="B115" s="33"/>
      <c r="G115" s="76"/>
      <c r="N115" s="33"/>
      <c r="O115" s="33"/>
      <c r="P115" s="33"/>
    </row>
    <row r="116" spans="2:16" x14ac:dyDescent="0.25">
      <c r="B116" s="33"/>
      <c r="G116" s="76"/>
      <c r="N116" s="33"/>
      <c r="O116" s="33"/>
      <c r="P116" s="33"/>
    </row>
    <row r="117" spans="2:16" x14ac:dyDescent="0.25">
      <c r="B117" s="33"/>
      <c r="G117" s="76"/>
      <c r="N117" s="33"/>
      <c r="O117" s="33"/>
      <c r="P117" s="33"/>
    </row>
    <row r="118" spans="2:16" x14ac:dyDescent="0.25">
      <c r="B118" s="33"/>
      <c r="G118" s="76"/>
      <c r="N118" s="33"/>
      <c r="O118" s="33"/>
      <c r="P118" s="33"/>
    </row>
    <row r="119" spans="2:16" x14ac:dyDescent="0.25">
      <c r="B119" s="33"/>
      <c r="G119" s="76"/>
      <c r="N119" s="33"/>
      <c r="O119" s="33"/>
      <c r="P119" s="33"/>
    </row>
    <row r="120" spans="2:16" x14ac:dyDescent="0.25">
      <c r="B120" s="33"/>
      <c r="G120" s="76"/>
      <c r="N120" s="33"/>
      <c r="O120" s="33"/>
      <c r="P120" s="33"/>
    </row>
    <row r="121" spans="2:16" x14ac:dyDescent="0.25">
      <c r="B121" s="33"/>
      <c r="G121" s="76"/>
      <c r="N121" s="33"/>
      <c r="O121" s="33"/>
      <c r="P121" s="33"/>
    </row>
    <row r="122" spans="2:16" x14ac:dyDescent="0.25">
      <c r="B122" s="33"/>
      <c r="G122" s="76"/>
      <c r="N122" s="33"/>
      <c r="O122" s="33"/>
      <c r="P122" s="33"/>
    </row>
    <row r="123" spans="2:16" x14ac:dyDescent="0.25">
      <c r="B123" s="33"/>
      <c r="G123" s="76"/>
      <c r="N123" s="33"/>
      <c r="O123" s="33"/>
      <c r="P123" s="33"/>
    </row>
    <row r="124" spans="2:16" x14ac:dyDescent="0.25">
      <c r="B124" s="33"/>
      <c r="G124" s="76"/>
      <c r="N124" s="33"/>
      <c r="O124" s="33"/>
      <c r="P124" s="33"/>
    </row>
    <row r="125" spans="2:16" x14ac:dyDescent="0.25">
      <c r="B125" s="33"/>
      <c r="G125" s="76"/>
      <c r="N125" s="33"/>
      <c r="O125" s="33"/>
      <c r="P125" s="33"/>
    </row>
    <row r="126" spans="2:16" x14ac:dyDescent="0.25">
      <c r="B126" s="33"/>
      <c r="G126" s="76"/>
      <c r="N126" s="33"/>
      <c r="O126" s="33"/>
      <c r="P126" s="33"/>
    </row>
    <row r="127" spans="2:16" x14ac:dyDescent="0.25">
      <c r="B127" s="33"/>
      <c r="G127" s="76"/>
      <c r="N127" s="33"/>
      <c r="O127" s="33"/>
      <c r="P127" s="33"/>
    </row>
    <row r="128" spans="2:16" x14ac:dyDescent="0.25">
      <c r="B128" s="33"/>
      <c r="G128" s="76"/>
      <c r="N128" s="33"/>
      <c r="O128" s="33"/>
      <c r="P128" s="33"/>
    </row>
    <row r="129" spans="2:16" x14ac:dyDescent="0.25">
      <c r="B129" s="33"/>
      <c r="G129" s="76"/>
      <c r="N129" s="33"/>
      <c r="O129" s="33"/>
      <c r="P129" s="33"/>
    </row>
    <row r="130" spans="2:16" x14ac:dyDescent="0.25">
      <c r="B130" s="33"/>
      <c r="G130" s="76"/>
      <c r="N130" s="33"/>
      <c r="O130" s="33"/>
      <c r="P130" s="33"/>
    </row>
    <row r="131" spans="2:16" x14ac:dyDescent="0.25">
      <c r="B131" s="33"/>
      <c r="G131" s="76"/>
      <c r="N131" s="33"/>
      <c r="O131" s="33"/>
      <c r="P131" s="33"/>
    </row>
    <row r="132" spans="2:16" x14ac:dyDescent="0.25">
      <c r="B132" s="33"/>
      <c r="G132" s="76"/>
      <c r="N132" s="33"/>
      <c r="O132" s="33"/>
      <c r="P132" s="33"/>
    </row>
    <row r="133" spans="2:16" x14ac:dyDescent="0.25">
      <c r="B133" s="33"/>
      <c r="G133" s="76"/>
      <c r="N133" s="33"/>
      <c r="O133" s="33"/>
      <c r="P133" s="33"/>
    </row>
    <row r="134" spans="2:16" x14ac:dyDescent="0.25">
      <c r="B134" s="33"/>
      <c r="G134" s="76"/>
      <c r="N134" s="33"/>
      <c r="O134" s="33"/>
      <c r="P134" s="33"/>
    </row>
    <row r="135" spans="2:16" x14ac:dyDescent="0.25">
      <c r="B135" s="33"/>
      <c r="G135" s="76"/>
      <c r="N135" s="33"/>
      <c r="O135" s="33"/>
      <c r="P135" s="33"/>
    </row>
    <row r="136" spans="2:16" x14ac:dyDescent="0.25">
      <c r="B136" s="33"/>
      <c r="G136" s="76"/>
      <c r="N136" s="33"/>
      <c r="O136" s="33"/>
      <c r="P136" s="33"/>
    </row>
    <row r="137" spans="2:16" x14ac:dyDescent="0.25">
      <c r="B137" s="33"/>
      <c r="G137" s="76"/>
      <c r="N137" s="33"/>
      <c r="O137" s="33"/>
      <c r="P137" s="33"/>
    </row>
    <row r="138" spans="2:16" x14ac:dyDescent="0.25">
      <c r="B138" s="33"/>
      <c r="G138" s="76"/>
      <c r="N138" s="33"/>
      <c r="O138" s="33"/>
      <c r="P138" s="33"/>
    </row>
    <row r="139" spans="2:16" x14ac:dyDescent="0.25">
      <c r="B139" s="33"/>
      <c r="G139" s="76"/>
      <c r="N139" s="33"/>
      <c r="O139" s="33"/>
      <c r="P139" s="33"/>
    </row>
    <row r="140" spans="2:16" x14ac:dyDescent="0.25">
      <c r="B140" s="33"/>
      <c r="G140" s="76"/>
      <c r="N140" s="33"/>
      <c r="O140" s="33"/>
      <c r="P140" s="33"/>
    </row>
    <row r="141" spans="2:16" x14ac:dyDescent="0.25">
      <c r="B141" s="33"/>
      <c r="G141" s="76"/>
      <c r="N141" s="33"/>
      <c r="O141" s="33"/>
      <c r="P141" s="33"/>
    </row>
    <row r="142" spans="2:16" x14ac:dyDescent="0.25">
      <c r="B142" s="33"/>
      <c r="G142" s="76"/>
      <c r="N142" s="33"/>
      <c r="O142" s="33"/>
      <c r="P142" s="33"/>
    </row>
    <row r="143" spans="2:16" x14ac:dyDescent="0.25">
      <c r="B143" s="33"/>
      <c r="G143" s="76"/>
      <c r="N143" s="33"/>
      <c r="O143" s="33"/>
      <c r="P143" s="33"/>
    </row>
    <row r="144" spans="2:16" x14ac:dyDescent="0.25">
      <c r="B144" s="33"/>
      <c r="G144" s="76"/>
      <c r="N144" s="33"/>
      <c r="O144" s="33"/>
      <c r="P144" s="33"/>
    </row>
    <row r="145" spans="2:16" x14ac:dyDescent="0.25">
      <c r="B145" s="33"/>
      <c r="G145" s="76"/>
      <c r="N145" s="33"/>
      <c r="O145" s="33"/>
      <c r="P145" s="33"/>
    </row>
    <row r="146" spans="2:16" x14ac:dyDescent="0.25">
      <c r="B146" s="33"/>
      <c r="G146" s="76"/>
      <c r="N146" s="33"/>
      <c r="O146" s="33"/>
      <c r="P146" s="33"/>
    </row>
    <row r="147" spans="2:16" x14ac:dyDescent="0.25">
      <c r="B147" s="33"/>
      <c r="G147" s="76"/>
      <c r="N147" s="33"/>
      <c r="O147" s="33"/>
      <c r="P147" s="33"/>
    </row>
    <row r="148" spans="2:16" x14ac:dyDescent="0.25">
      <c r="B148" s="33"/>
      <c r="G148" s="76"/>
      <c r="N148" s="33"/>
      <c r="O148" s="33"/>
      <c r="P148" s="33"/>
    </row>
    <row r="149" spans="2:16" x14ac:dyDescent="0.25">
      <c r="B149" s="33"/>
      <c r="G149" s="76"/>
      <c r="N149" s="33"/>
      <c r="O149" s="33"/>
      <c r="P149" s="33"/>
    </row>
    <row r="150" spans="2:16" x14ac:dyDescent="0.25">
      <c r="B150" s="33"/>
      <c r="G150" s="76"/>
      <c r="N150" s="33"/>
      <c r="O150" s="33"/>
      <c r="P150" s="33"/>
    </row>
    <row r="151" spans="2:16" x14ac:dyDescent="0.25">
      <c r="B151" s="33"/>
      <c r="G151" s="76"/>
      <c r="N151" s="33"/>
      <c r="O151" s="33"/>
      <c r="P151" s="33"/>
    </row>
    <row r="152" spans="2:16" x14ac:dyDescent="0.25">
      <c r="B152" s="33"/>
      <c r="G152" s="76"/>
      <c r="N152" s="33"/>
      <c r="O152" s="33"/>
      <c r="P152" s="33"/>
    </row>
    <row r="153" spans="2:16" x14ac:dyDescent="0.25">
      <c r="B153" s="33"/>
      <c r="G153" s="76"/>
      <c r="N153" s="33"/>
      <c r="O153" s="33"/>
      <c r="P153" s="33"/>
    </row>
    <row r="154" spans="2:16" x14ac:dyDescent="0.25">
      <c r="B154" s="33"/>
      <c r="G154" s="76"/>
      <c r="N154" s="33"/>
      <c r="O154" s="33"/>
      <c r="P154" s="33"/>
    </row>
    <row r="155" spans="2:16" x14ac:dyDescent="0.25">
      <c r="B155" s="33"/>
      <c r="G155" s="76"/>
      <c r="N155" s="33"/>
      <c r="O155" s="33"/>
      <c r="P155" s="33"/>
    </row>
    <row r="156" spans="2:16" x14ac:dyDescent="0.25">
      <c r="B156" s="33"/>
      <c r="G156" s="76"/>
      <c r="N156" s="33"/>
      <c r="O156" s="33"/>
      <c r="P156" s="33"/>
    </row>
    <row r="157" spans="2:16" x14ac:dyDescent="0.25">
      <c r="B157" s="33"/>
      <c r="G157" s="76"/>
      <c r="N157" s="33"/>
      <c r="O157" s="33"/>
      <c r="P157" s="33"/>
    </row>
    <row r="158" spans="2:16" x14ac:dyDescent="0.25">
      <c r="B158" s="33"/>
      <c r="G158" s="76"/>
      <c r="N158" s="33"/>
      <c r="O158" s="33"/>
      <c r="P158" s="33"/>
    </row>
    <row r="159" spans="2:16" x14ac:dyDescent="0.25">
      <c r="B159" s="33"/>
      <c r="G159" s="76"/>
      <c r="N159" s="33"/>
      <c r="O159" s="33"/>
      <c r="P159" s="33"/>
    </row>
    <row r="160" spans="2:16" x14ac:dyDescent="0.25">
      <c r="B160" s="33"/>
      <c r="G160" s="76"/>
      <c r="N160" s="33"/>
      <c r="O160" s="33"/>
      <c r="P160" s="33"/>
    </row>
    <row r="161" spans="2:16" x14ac:dyDescent="0.25">
      <c r="B161" s="33"/>
      <c r="G161" s="76"/>
      <c r="N161" s="33"/>
      <c r="O161" s="33"/>
      <c r="P161" s="33"/>
    </row>
    <row r="162" spans="2:16" x14ac:dyDescent="0.25">
      <c r="B162" s="33"/>
      <c r="G162" s="76"/>
      <c r="N162" s="33"/>
      <c r="O162" s="33"/>
      <c r="P162" s="33"/>
    </row>
    <row r="163" spans="2:16" x14ac:dyDescent="0.25">
      <c r="B163" s="33"/>
      <c r="G163" s="76"/>
      <c r="N163" s="33"/>
      <c r="O163" s="33"/>
      <c r="P163" s="33"/>
    </row>
    <row r="164" spans="2:16" x14ac:dyDescent="0.25">
      <c r="B164" s="33"/>
      <c r="G164" s="76"/>
      <c r="N164" s="33"/>
      <c r="O164" s="33"/>
      <c r="P164" s="33"/>
    </row>
    <row r="165" spans="2:16" x14ac:dyDescent="0.25">
      <c r="B165" s="33"/>
      <c r="G165" s="76"/>
      <c r="N165" s="33"/>
      <c r="O165" s="33"/>
      <c r="P165" s="33"/>
    </row>
    <row r="166" spans="2:16" x14ac:dyDescent="0.25">
      <c r="B166" s="33"/>
      <c r="G166" s="76"/>
      <c r="N166" s="33"/>
      <c r="O166" s="33"/>
      <c r="P166" s="33"/>
    </row>
    <row r="167" spans="2:16" x14ac:dyDescent="0.25">
      <c r="B167" s="33"/>
      <c r="G167" s="76"/>
      <c r="N167" s="33"/>
      <c r="O167" s="33"/>
      <c r="P167" s="33"/>
    </row>
    <row r="168" spans="2:16" x14ac:dyDescent="0.25">
      <c r="B168" s="33"/>
      <c r="G168" s="76"/>
      <c r="N168" s="33"/>
      <c r="O168" s="33"/>
      <c r="P168" s="33"/>
    </row>
    <row r="169" spans="2:16" x14ac:dyDescent="0.25">
      <c r="B169" s="33"/>
      <c r="G169" s="76"/>
      <c r="N169" s="33"/>
      <c r="O169" s="33"/>
      <c r="P169" s="33"/>
    </row>
    <row r="170" spans="2:16" x14ac:dyDescent="0.25">
      <c r="B170" s="33"/>
      <c r="G170" s="76"/>
      <c r="N170" s="33"/>
      <c r="O170" s="33"/>
      <c r="P170" s="33"/>
    </row>
    <row r="171" spans="2:16" x14ac:dyDescent="0.25">
      <c r="B171" s="33"/>
      <c r="G171" s="76"/>
      <c r="N171" s="33"/>
      <c r="O171" s="33"/>
      <c r="P171" s="33"/>
    </row>
    <row r="172" spans="2:16" x14ac:dyDescent="0.25">
      <c r="B172" s="33"/>
      <c r="G172" s="76"/>
      <c r="N172" s="33"/>
      <c r="O172" s="33"/>
      <c r="P172" s="33"/>
    </row>
    <row r="173" spans="2:16" x14ac:dyDescent="0.25">
      <c r="B173" s="33"/>
      <c r="G173" s="76"/>
      <c r="N173" s="33"/>
      <c r="O173" s="33"/>
      <c r="P173" s="33"/>
    </row>
    <row r="174" spans="2:16" x14ac:dyDescent="0.25">
      <c r="B174" s="33"/>
      <c r="G174" s="76"/>
      <c r="N174" s="33"/>
      <c r="O174" s="33"/>
      <c r="P174" s="33"/>
    </row>
    <row r="175" spans="2:16" x14ac:dyDescent="0.25">
      <c r="B175" s="33"/>
      <c r="G175" s="76"/>
      <c r="N175" s="33"/>
      <c r="O175" s="33"/>
      <c r="P175" s="33"/>
    </row>
    <row r="176" spans="2:16" x14ac:dyDescent="0.25">
      <c r="B176" s="33"/>
      <c r="G176" s="76"/>
      <c r="N176" s="33"/>
      <c r="O176" s="33"/>
      <c r="P176" s="33"/>
    </row>
    <row r="177" spans="2:16" x14ac:dyDescent="0.25">
      <c r="B177" s="33"/>
      <c r="G177" s="76"/>
      <c r="N177" s="33"/>
      <c r="O177" s="33"/>
      <c r="P177" s="33"/>
    </row>
    <row r="178" spans="2:16" x14ac:dyDescent="0.25">
      <c r="B178" s="33"/>
      <c r="G178" s="76"/>
      <c r="N178" s="33"/>
      <c r="O178" s="33"/>
      <c r="P178" s="33"/>
    </row>
    <row r="179" spans="2:16" x14ac:dyDescent="0.25">
      <c r="B179" s="33"/>
      <c r="G179" s="76"/>
      <c r="N179" s="33"/>
      <c r="O179" s="33"/>
      <c r="P179" s="33"/>
    </row>
    <row r="180" spans="2:16" x14ac:dyDescent="0.25">
      <c r="B180" s="33"/>
      <c r="G180" s="76"/>
      <c r="N180" s="33"/>
      <c r="O180" s="33"/>
      <c r="P180" s="33"/>
    </row>
    <row r="181" spans="2:16" x14ac:dyDescent="0.25">
      <c r="B181" s="33"/>
      <c r="G181" s="76"/>
      <c r="N181" s="33"/>
      <c r="O181" s="33"/>
      <c r="P181" s="33"/>
    </row>
    <row r="182" spans="2:16" x14ac:dyDescent="0.25">
      <c r="B182" s="33"/>
      <c r="G182" s="76"/>
      <c r="N182" s="33"/>
      <c r="O182" s="33"/>
      <c r="P182" s="33"/>
    </row>
    <row r="183" spans="2:16" x14ac:dyDescent="0.25">
      <c r="B183" s="33"/>
      <c r="G183" s="76"/>
      <c r="N183" s="33"/>
      <c r="O183" s="33"/>
      <c r="P183" s="33"/>
    </row>
    <row r="184" spans="2:16" x14ac:dyDescent="0.25">
      <c r="B184" s="33"/>
      <c r="G184" s="76"/>
      <c r="N184" s="33"/>
      <c r="O184" s="33"/>
      <c r="P184" s="33"/>
    </row>
    <row r="185" spans="2:16" x14ac:dyDescent="0.25">
      <c r="B185" s="33"/>
      <c r="G185" s="76"/>
      <c r="N185" s="33"/>
      <c r="O185" s="33"/>
      <c r="P185" s="33"/>
    </row>
    <row r="186" spans="2:16" x14ac:dyDescent="0.25">
      <c r="B186" s="33"/>
      <c r="G186" s="76"/>
      <c r="N186" s="33"/>
      <c r="O186" s="33"/>
      <c r="P186" s="33"/>
    </row>
    <row r="187" spans="2:16" x14ac:dyDescent="0.25">
      <c r="B187" s="33"/>
      <c r="G187" s="76"/>
      <c r="N187" s="33"/>
      <c r="O187" s="33"/>
      <c r="P187" s="33"/>
    </row>
    <row r="188" spans="2:16" x14ac:dyDescent="0.25">
      <c r="B188" s="33"/>
      <c r="G188" s="76"/>
      <c r="N188" s="33"/>
      <c r="O188" s="33"/>
      <c r="P188" s="33"/>
    </row>
    <row r="189" spans="2:16" x14ac:dyDescent="0.25">
      <c r="B189" s="33"/>
      <c r="G189" s="76"/>
      <c r="N189" s="33"/>
      <c r="O189" s="33"/>
      <c r="P189" s="33"/>
    </row>
    <row r="190" spans="2:16" x14ac:dyDescent="0.25">
      <c r="B190" s="33"/>
      <c r="G190" s="76"/>
      <c r="N190" s="33"/>
      <c r="O190" s="33"/>
      <c r="P190" s="33"/>
    </row>
    <row r="191" spans="2:16" x14ac:dyDescent="0.25">
      <c r="B191" s="33"/>
      <c r="G191" s="76"/>
      <c r="N191" s="33"/>
      <c r="O191" s="33"/>
      <c r="P191" s="33"/>
    </row>
    <row r="192" spans="2:16" x14ac:dyDescent="0.25">
      <c r="B192" s="33"/>
      <c r="G192" s="76"/>
      <c r="N192" s="33"/>
      <c r="O192" s="33"/>
      <c r="P192" s="33"/>
    </row>
    <row r="193" spans="2:16" x14ac:dyDescent="0.25">
      <c r="B193" s="33"/>
      <c r="G193" s="76"/>
      <c r="N193" s="33"/>
      <c r="O193" s="33"/>
      <c r="P193" s="33"/>
    </row>
    <row r="194" spans="2:16" x14ac:dyDescent="0.25">
      <c r="B194" s="33"/>
      <c r="G194" s="76"/>
      <c r="N194" s="33"/>
      <c r="O194" s="33"/>
      <c r="P194" s="33"/>
    </row>
    <row r="195" spans="2:16" x14ac:dyDescent="0.25">
      <c r="B195" s="33"/>
      <c r="G195" s="76"/>
      <c r="N195" s="33"/>
      <c r="O195" s="33"/>
      <c r="P195" s="33"/>
    </row>
    <row r="196" spans="2:16" x14ac:dyDescent="0.25">
      <c r="B196" s="33"/>
      <c r="G196" s="76"/>
      <c r="N196" s="33"/>
      <c r="O196" s="33"/>
      <c r="P196" s="33"/>
    </row>
    <row r="197" spans="2:16" x14ac:dyDescent="0.25">
      <c r="B197" s="33"/>
      <c r="G197" s="76"/>
      <c r="N197" s="33"/>
      <c r="O197" s="33"/>
      <c r="P197" s="33"/>
    </row>
    <row r="198" spans="2:16" x14ac:dyDescent="0.25">
      <c r="B198" s="33"/>
      <c r="G198" s="76"/>
      <c r="N198" s="33"/>
      <c r="O198" s="33"/>
      <c r="P198" s="33"/>
    </row>
    <row r="199" spans="2:16" x14ac:dyDescent="0.25">
      <c r="B199" s="33"/>
      <c r="G199" s="76"/>
      <c r="N199" s="33"/>
      <c r="O199" s="33"/>
      <c r="P199" s="33"/>
    </row>
    <row r="200" spans="2:16" x14ac:dyDescent="0.25">
      <c r="B200" s="33"/>
      <c r="G200" s="76"/>
      <c r="N200" s="33"/>
      <c r="O200" s="33"/>
      <c r="P200" s="33"/>
    </row>
    <row r="201" spans="2:16" x14ac:dyDescent="0.25">
      <c r="B201" s="33"/>
      <c r="G201" s="76"/>
      <c r="N201" s="33"/>
      <c r="O201" s="33"/>
      <c r="P201" s="33"/>
    </row>
    <row r="202" spans="2:16" x14ac:dyDescent="0.25">
      <c r="B202" s="33"/>
      <c r="G202" s="76"/>
      <c r="N202" s="33"/>
      <c r="O202" s="33"/>
      <c r="P202" s="33"/>
    </row>
    <row r="203" spans="2:16" x14ac:dyDescent="0.25">
      <c r="B203" s="33"/>
      <c r="G203" s="76"/>
      <c r="N203" s="33"/>
      <c r="O203" s="33"/>
      <c r="P203" s="33"/>
    </row>
    <row r="204" spans="2:16" x14ac:dyDescent="0.25">
      <c r="B204" s="33"/>
      <c r="G204" s="76"/>
      <c r="N204" s="33"/>
      <c r="O204" s="33"/>
      <c r="P204" s="33"/>
    </row>
    <row r="205" spans="2:16" x14ac:dyDescent="0.25">
      <c r="B205" s="33"/>
      <c r="G205" s="76"/>
      <c r="N205" s="33"/>
      <c r="O205" s="33"/>
      <c r="P205" s="33"/>
    </row>
    <row r="206" spans="2:16" x14ac:dyDescent="0.25">
      <c r="B206" s="33"/>
      <c r="G206" s="76"/>
      <c r="N206" s="33"/>
      <c r="O206" s="33"/>
      <c r="P206" s="33"/>
    </row>
    <row r="207" spans="2:16" x14ac:dyDescent="0.25">
      <c r="B207" s="33"/>
      <c r="G207" s="76"/>
      <c r="N207" s="33"/>
      <c r="O207" s="33"/>
      <c r="P207" s="33"/>
    </row>
    <row r="208" spans="2:16" x14ac:dyDescent="0.25">
      <c r="B208" s="33"/>
      <c r="G208" s="76"/>
      <c r="N208" s="33"/>
      <c r="O208" s="33"/>
      <c r="P208" s="33"/>
    </row>
    <row r="209" spans="2:16" x14ac:dyDescent="0.25">
      <c r="B209" s="33"/>
      <c r="G209" s="76"/>
      <c r="N209" s="33"/>
      <c r="O209" s="33"/>
      <c r="P209" s="33"/>
    </row>
    <row r="210" spans="2:16" x14ac:dyDescent="0.25">
      <c r="B210" s="33"/>
      <c r="G210" s="76"/>
      <c r="N210" s="33"/>
      <c r="O210" s="33"/>
      <c r="P210" s="33"/>
    </row>
    <row r="211" spans="2:16" x14ac:dyDescent="0.25">
      <c r="B211" s="33"/>
      <c r="G211" s="76"/>
      <c r="N211" s="33"/>
      <c r="O211" s="33"/>
      <c r="P211" s="33"/>
    </row>
    <row r="212" spans="2:16" x14ac:dyDescent="0.25">
      <c r="B212" s="33"/>
      <c r="G212" s="76"/>
      <c r="N212" s="33"/>
      <c r="O212" s="33"/>
      <c r="P212" s="33"/>
    </row>
    <row r="213" spans="2:16" x14ac:dyDescent="0.25">
      <c r="B213" s="33"/>
      <c r="G213" s="76"/>
      <c r="N213" s="33"/>
      <c r="O213" s="33"/>
      <c r="P213" s="33"/>
    </row>
    <row r="214" spans="2:16" x14ac:dyDescent="0.25">
      <c r="B214" s="33"/>
      <c r="G214" s="76"/>
      <c r="N214" s="33"/>
      <c r="O214" s="33"/>
      <c r="P214" s="33"/>
    </row>
    <row r="215" spans="2:16" x14ac:dyDescent="0.25">
      <c r="B215" s="33"/>
      <c r="G215" s="76"/>
      <c r="N215" s="33"/>
      <c r="O215" s="33"/>
      <c r="P215" s="33"/>
    </row>
    <row r="216" spans="2:16" x14ac:dyDescent="0.25">
      <c r="B216" s="33"/>
      <c r="G216" s="76"/>
      <c r="N216" s="33"/>
      <c r="O216" s="33"/>
      <c r="P216" s="33"/>
    </row>
    <row r="217" spans="2:16" x14ac:dyDescent="0.25">
      <c r="B217" s="33"/>
      <c r="G217" s="76"/>
      <c r="N217" s="33"/>
      <c r="O217" s="33"/>
      <c r="P217" s="33"/>
    </row>
    <row r="218" spans="2:16" x14ac:dyDescent="0.25">
      <c r="B218" s="33"/>
      <c r="G218" s="76"/>
      <c r="N218" s="33"/>
      <c r="O218" s="33"/>
      <c r="P218" s="33"/>
    </row>
    <row r="219" spans="2:16" x14ac:dyDescent="0.25">
      <c r="B219" s="33"/>
      <c r="G219" s="76"/>
      <c r="N219" s="33"/>
      <c r="O219" s="33"/>
      <c r="P219" s="33"/>
    </row>
    <row r="220" spans="2:16" x14ac:dyDescent="0.25">
      <c r="B220" s="33"/>
      <c r="G220" s="76"/>
      <c r="N220" s="33"/>
      <c r="O220" s="33"/>
      <c r="P220" s="33"/>
    </row>
    <row r="221" spans="2:16" x14ac:dyDescent="0.25">
      <c r="B221" s="33"/>
      <c r="G221" s="76"/>
      <c r="N221" s="33"/>
      <c r="O221" s="33"/>
      <c r="P221" s="33"/>
    </row>
    <row r="222" spans="2:16" x14ac:dyDescent="0.25">
      <c r="B222" s="33"/>
      <c r="G222" s="76"/>
      <c r="N222" s="33"/>
      <c r="O222" s="33"/>
      <c r="P222" s="33"/>
    </row>
    <row r="223" spans="2:16" x14ac:dyDescent="0.25">
      <c r="B223" s="33"/>
      <c r="G223" s="76"/>
      <c r="N223" s="33"/>
      <c r="O223" s="33"/>
      <c r="P223" s="33"/>
    </row>
    <row r="224" spans="2:16" x14ac:dyDescent="0.25">
      <c r="B224" s="33"/>
      <c r="G224" s="76"/>
      <c r="N224" s="33"/>
      <c r="O224" s="33"/>
      <c r="P224" s="33"/>
    </row>
    <row r="225" spans="2:16" x14ac:dyDescent="0.25">
      <c r="B225" s="33"/>
      <c r="G225" s="76"/>
      <c r="N225" s="33"/>
      <c r="O225" s="33"/>
      <c r="P225" s="33"/>
    </row>
    <row r="226" spans="2:16" x14ac:dyDescent="0.25">
      <c r="B226" s="33"/>
      <c r="G226" s="76"/>
      <c r="N226" s="33"/>
      <c r="O226" s="33"/>
      <c r="P226" s="33"/>
    </row>
    <row r="227" spans="2:16" x14ac:dyDescent="0.25">
      <c r="B227" s="33"/>
      <c r="G227" s="76"/>
      <c r="N227" s="33"/>
      <c r="O227" s="33"/>
      <c r="P227" s="33"/>
    </row>
    <row r="228" spans="2:16" x14ac:dyDescent="0.25">
      <c r="B228" s="33"/>
      <c r="G228" s="76"/>
      <c r="N228" s="33"/>
      <c r="O228" s="33"/>
      <c r="P228" s="33"/>
    </row>
    <row r="229" spans="2:16" x14ac:dyDescent="0.25">
      <c r="B229" s="33"/>
      <c r="G229" s="76"/>
      <c r="N229" s="33"/>
      <c r="O229" s="33"/>
      <c r="P229" s="33"/>
    </row>
    <row r="230" spans="2:16" x14ac:dyDescent="0.25">
      <c r="B230" s="33"/>
      <c r="G230" s="76"/>
      <c r="N230" s="33"/>
      <c r="O230" s="33"/>
      <c r="P230" s="33"/>
    </row>
    <row r="231" spans="2:16" x14ac:dyDescent="0.25">
      <c r="B231" s="33"/>
      <c r="G231" s="76"/>
      <c r="N231" s="33"/>
      <c r="O231" s="33"/>
      <c r="P231" s="33"/>
    </row>
    <row r="232" spans="2:16" x14ac:dyDescent="0.25">
      <c r="B232" s="33"/>
      <c r="G232" s="76"/>
      <c r="N232" s="33"/>
      <c r="O232" s="33"/>
      <c r="P232" s="33"/>
    </row>
    <row r="233" spans="2:16" x14ac:dyDescent="0.25">
      <c r="B233" s="33"/>
      <c r="G233" s="76"/>
      <c r="N233" s="33"/>
      <c r="O233" s="33"/>
      <c r="P233" s="33"/>
    </row>
    <row r="234" spans="2:16" x14ac:dyDescent="0.25">
      <c r="B234" s="33"/>
      <c r="G234" s="76"/>
      <c r="N234" s="33"/>
      <c r="O234" s="33"/>
      <c r="P234" s="33"/>
    </row>
    <row r="235" spans="2:16" x14ac:dyDescent="0.25">
      <c r="B235" s="33"/>
      <c r="G235" s="76"/>
      <c r="N235" s="33"/>
      <c r="O235" s="33"/>
      <c r="P235" s="33"/>
    </row>
    <row r="236" spans="2:16" x14ac:dyDescent="0.25">
      <c r="B236" s="33"/>
      <c r="G236" s="76"/>
      <c r="N236" s="33"/>
      <c r="O236" s="33"/>
      <c r="P236" s="33"/>
    </row>
    <row r="237" spans="2:16" x14ac:dyDescent="0.25">
      <c r="B237" s="33"/>
      <c r="G237" s="76"/>
      <c r="N237" s="33"/>
      <c r="O237" s="33"/>
      <c r="P237" s="33"/>
    </row>
    <row r="238" spans="2:16" x14ac:dyDescent="0.25">
      <c r="B238" s="33"/>
      <c r="G238" s="76"/>
      <c r="N238" s="33"/>
      <c r="O238" s="33"/>
      <c r="P238" s="33"/>
    </row>
    <row r="239" spans="2:16" x14ac:dyDescent="0.25">
      <c r="B239" s="33"/>
      <c r="G239" s="76"/>
      <c r="N239" s="33"/>
      <c r="O239" s="33"/>
      <c r="P239" s="33"/>
    </row>
    <row r="240" spans="2:16" x14ac:dyDescent="0.25">
      <c r="B240" s="33"/>
      <c r="G240" s="76"/>
      <c r="N240" s="33"/>
      <c r="O240" s="33"/>
      <c r="P240" s="33"/>
    </row>
    <row r="241" spans="2:16" x14ac:dyDescent="0.25">
      <c r="B241" s="33"/>
      <c r="N241" s="33"/>
      <c r="O241" s="33"/>
      <c r="P241" s="33"/>
    </row>
    <row r="242" spans="2:16" x14ac:dyDescent="0.25">
      <c r="N242" s="33"/>
      <c r="O242" s="33"/>
      <c r="P242" s="33"/>
    </row>
    <row r="243" spans="2:16" x14ac:dyDescent="0.25">
      <c r="N243" s="33"/>
      <c r="O243" s="33"/>
      <c r="P243" s="33"/>
    </row>
    <row r="244" spans="2:16" x14ac:dyDescent="0.25">
      <c r="N244" s="33"/>
      <c r="O244" s="33"/>
      <c r="P244" s="33"/>
    </row>
    <row r="245" spans="2:16" x14ac:dyDescent="0.25">
      <c r="N245" s="33"/>
      <c r="O245" s="33"/>
      <c r="P245" s="33"/>
    </row>
    <row r="246" spans="2:16" x14ac:dyDescent="0.25">
      <c r="N246" s="33"/>
      <c r="O246" s="33"/>
      <c r="P246" s="33"/>
    </row>
    <row r="247" spans="2:16" x14ac:dyDescent="0.25">
      <c r="N247" s="33"/>
      <c r="O247" s="33"/>
      <c r="P247" s="33"/>
    </row>
    <row r="248" spans="2:16" x14ac:dyDescent="0.25">
      <c r="N248" s="33"/>
      <c r="O248" s="33"/>
      <c r="P248" s="33"/>
    </row>
    <row r="249" spans="2:16" x14ac:dyDescent="0.25">
      <c r="N249" s="33"/>
      <c r="O249" s="33"/>
      <c r="P249" s="33"/>
    </row>
    <row r="250" spans="2:16" x14ac:dyDescent="0.25">
      <c r="N250" s="33"/>
      <c r="O250" s="33"/>
      <c r="P250" s="33"/>
    </row>
    <row r="251" spans="2:16" x14ac:dyDescent="0.25">
      <c r="N251" s="33"/>
      <c r="O251" s="33"/>
      <c r="P251" s="33"/>
    </row>
    <row r="252" spans="2:16" x14ac:dyDescent="0.25">
      <c r="N252" s="33"/>
      <c r="O252" s="33"/>
      <c r="P252" s="33"/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customUI/customUI14.xml><?xml version="1.0" encoding="utf-8"?>
<customUI xmlns="http://schemas.microsoft.com/office/2009/07/customui">
  <commands>
    <command idMso="Collaborate" enabled="false"/>
  </commands>
  <ribbon>
    <tabs>
      <tab id="customTab" label="Sistema Contable" insertAfterMso="TabHome">
        <group id="Catalogo" label="Cuentas">
          <button id="cuentas" label="Catálogo de Cuentas" size="large" onAction="form_ListaCuentas" imageMso="BuildingBlocksOrganizer"/>
          <button id="adminCuentas" label="Administrar Cuentas" size="large" onAction="form_AdminCuentas" imageMso="AssetSettings"/>
        </group>
        <group id="conta" label="Contabilidad">
          <button id="asientos" label="Asientos" onAction="form_Asientos" size="large" imageMso="MasterPageAddNew"/>
          <button id="libro_diario" label="Libro Diario" onAction="form_Transacciones" size="large" imageMso="CreateReport"/>
          <button id="libro_mayor" label="Libro Mayor" onAction="form_libroMayor" size="large" imageMso="PivotTableBlankRowsRemove"/>
          <button id="balComprobacion" label="Balance de Comprobación" size="large" onAction="form_comprobación" imageMso="ConflictsAcceptMenu"/>
        </group>
        <group id="idCostoProducto" label="Costo de un producto">
          <button id="idCosteo" label="Costeo Producto" size="large" onAction="form_ResultadoCosteo" imageMso="AccessTableTasks"/>
          <button id="idResultado" label="Proyectos" size="large" onAction="form_CosteoProducto" imageMso="ArrangeByStore"/>
        </group>
        <group id="empleados" label="Empleados">
          <button id="costoEmpleado" label="Costeo" size="large" onAction="form_CosteoMDO" imageMso="AccessTableContacts"/>
          <button id="nomina" label="Nómina" size="large" onAction="form_Empleados" imageMso="AuthorHighlightingHide"/>
          <button id="AdminEmpleados" label="Registro" size="large" onAction="form_AdminEmpleados" imageMso="MenuInvite"/>
        </group>
        <group id="hojaTrabajo" label="Hoja de trabajo">
          <button id="hoja" label="Generar Hoja" size="large" onAction="HojaDeTrabajo" imageMso="CalendarConfigure"/>
          <button id="ajustes" label="Agregar Ajustes" size="large" onAction="form_Ajustes" imageMso="CalendarToolSelectDate"/>
          <button id="balanceajustado" label="Balance de Comprobación" size="large" onAction="BalanceAjustado" imageMso="CalendarViewGallery"/>
        </group>
        <group id="backup_onedrive" label="Backup">
          <button id="backup" label="Guardar en OneDrive" onAction="form_Backup" size="large" imageMso="FormExportToWeb"/>
        </group>
        <group id="empresa" label="Configuración">
          <button id="datosEmpresa" label="Empresa" size="large" onAction="form_Empresa" imageMso="GroupCurren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Inicio</vt:lpstr>
      <vt:lpstr>Catalogo</vt:lpstr>
      <vt:lpstr>Libro Diario</vt:lpstr>
      <vt:lpstr>Libro Mayor</vt:lpstr>
      <vt:lpstr>Balance de Comprobación</vt:lpstr>
      <vt:lpstr>Empleados</vt:lpstr>
      <vt:lpstr>Prestaciones</vt:lpstr>
      <vt:lpstr>Hoja de trabajo</vt:lpstr>
      <vt:lpstr>Costeo de un producto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Otto Gonzalez</dc:creator>
  <cp:lastModifiedBy>DELL</cp:lastModifiedBy>
  <dcterms:created xsi:type="dcterms:W3CDTF">2016-07-09T00:03:04Z</dcterms:created>
  <dcterms:modified xsi:type="dcterms:W3CDTF">2021-10-28T01:34:18Z</dcterms:modified>
</cp:coreProperties>
</file>