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a6430cf5b28142a3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sistema\Sistema-Contable\"/>
    </mc:Choice>
  </mc:AlternateContent>
  <xr:revisionPtr revIDLastSave="0" documentId="13_ncr:1_{421C7EC4-CD04-4C13-8C15-1810C6135FA1}" xr6:coauthVersionLast="47" xr6:coauthVersionMax="47" xr10:uidLastSave="{00000000-0000-0000-0000-000000000000}"/>
  <bookViews>
    <workbookView xWindow="810" yWindow="-120" windowWidth="19800" windowHeight="11760" activeTab="4" xr2:uid="{00000000-000D-0000-FFFF-FFFF00000000}"/>
  </bookViews>
  <sheets>
    <sheet name="Inicio" sheetId="1" r:id="rId1"/>
    <sheet name="Asientos" sheetId="3" r:id="rId2"/>
    <sheet name="Catalogo" sheetId="2" r:id="rId3"/>
    <sheet name="Nomina" sheetId="6" r:id="rId4"/>
    <sheet name="Prestaciones" sheetId="4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4" l="1"/>
  <c r="J6" i="4" s="1"/>
  <c r="B5" i="4" l="1"/>
  <c r="C16" i="4" l="1"/>
  <c r="C15" i="4"/>
  <c r="C14" i="4"/>
  <c r="B4" i="4"/>
  <c r="B3" i="4" l="1"/>
  <c r="B7" i="4" l="1"/>
  <c r="B6" i="4"/>
  <c r="H15" i="4" s="1"/>
  <c r="C3" i="4"/>
</calcChain>
</file>

<file path=xl/sharedStrings.xml><?xml version="1.0" encoding="utf-8"?>
<sst xmlns="http://schemas.openxmlformats.org/spreadsheetml/2006/main" count="62" uniqueCount="54">
  <si>
    <t>DASHBOARD</t>
  </si>
  <si>
    <t>CUENTA</t>
  </si>
  <si>
    <t>NATURALEZA</t>
  </si>
  <si>
    <t>NIVEL</t>
  </si>
  <si>
    <t>CODIGO</t>
  </si>
  <si>
    <t>prueba</t>
  </si>
  <si>
    <t>acreedora</t>
  </si>
  <si>
    <t>bbb</t>
  </si>
  <si>
    <t>deudora</t>
  </si>
  <si>
    <t>Columna5</t>
  </si>
  <si>
    <t>Columna6</t>
  </si>
  <si>
    <t>Num</t>
  </si>
  <si>
    <t>Nombre</t>
  </si>
  <si>
    <t>Apellidos</t>
  </si>
  <si>
    <t>NOMINA DE EMPLEADOS</t>
  </si>
  <si>
    <t>Fecha de Ingreso</t>
  </si>
  <si>
    <t>Prestaciones</t>
  </si>
  <si>
    <t>Vacaciones</t>
  </si>
  <si>
    <t>Aguinaldo</t>
  </si>
  <si>
    <t>ISSS</t>
  </si>
  <si>
    <t>AFP</t>
  </si>
  <si>
    <t>Salario diario</t>
  </si>
  <si>
    <t xml:space="preserve">Semanal </t>
  </si>
  <si>
    <t xml:space="preserve">Diario </t>
  </si>
  <si>
    <t>Hora</t>
  </si>
  <si>
    <t>Septimo dia</t>
  </si>
  <si>
    <t>Dias de trabajo</t>
  </si>
  <si>
    <t>Dias</t>
  </si>
  <si>
    <t>Datos empleado</t>
  </si>
  <si>
    <t>Horas</t>
  </si>
  <si>
    <t>Recargo</t>
  </si>
  <si>
    <t>001</t>
  </si>
  <si>
    <t>Costo real</t>
  </si>
  <si>
    <t>Factor de recargo</t>
  </si>
  <si>
    <t xml:space="preserve">Nominal </t>
  </si>
  <si>
    <t>Semana</t>
  </si>
  <si>
    <t>ID</t>
  </si>
  <si>
    <t>Nombres</t>
  </si>
  <si>
    <t>Salario</t>
  </si>
  <si>
    <t>002</t>
  </si>
  <si>
    <t>003</t>
  </si>
  <si>
    <t>004</t>
  </si>
  <si>
    <t>005</t>
  </si>
  <si>
    <t>Mendoza Lopez</t>
  </si>
  <si>
    <t>Mendoza Gonzales</t>
  </si>
  <si>
    <t>Ponce Portillo</t>
  </si>
  <si>
    <t>Sandoval Portillo</t>
  </si>
  <si>
    <t>Orellana</t>
  </si>
  <si>
    <t>Roxana</t>
  </si>
  <si>
    <t xml:space="preserve">Luis </t>
  </si>
  <si>
    <t>Mau</t>
  </si>
  <si>
    <t>Marisol</t>
  </si>
  <si>
    <t>Omar</t>
  </si>
  <si>
    <t>Tiempo Empresa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</si>
</sst>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4"/>
      <color theme="0"/>
      <name val="Roboto"/>
    </font>
    <font>
      <b/>
      <sz val="14"/>
      <color theme="0"/>
      <name val="Roboto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31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5" borderId="0" xfId="0" applyFill="1" applyAlignment="1">
      <alignment horizontal="center"/>
    </xf>
    <xf numFmtId="0" fontId="0" fillId="5" borderId="0" xfId="0" applyFill="1" applyBorder="1"/>
    <xf numFmtId="0" fontId="0" fillId="2" borderId="3" xfId="0" applyFill="1" applyBorder="1"/>
    <xf numFmtId="0" fontId="0" fillId="2" borderId="1" xfId="0" applyFill="1" applyBorder="1"/>
    <xf numFmtId="0" fontId="0" fillId="0" borderId="2" xfId="0" applyFill="1" applyBorder="1"/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44" fontId="0" fillId="0" borderId="0" xfId="1" applyFont="1"/>
    <xf numFmtId="0" fontId="0" fillId="5" borderId="0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2" borderId="0" xfId="0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44" fontId="0" fillId="0" borderId="0" xfId="0" applyNumberFormat="1"/>
    <xf numFmtId="2" fontId="0" fillId="0" borderId="0" xfId="0" applyNumberFormat="1"/>
    <xf numFmtId="9" fontId="0" fillId="0" borderId="0" xfId="0" applyNumberFormat="1"/>
    <xf numFmtId="0" fontId="0" fillId="6" borderId="0" xfId="0" applyFill="1"/>
    <xf numFmtId="10" fontId="0" fillId="0" borderId="0" xfId="0" applyNumberFormat="1"/>
    <xf numFmtId="49" fontId="0" fillId="0" borderId="0" xfId="0" applyNumberFormat="1"/>
    <xf numFmtId="44" fontId="0" fillId="0" borderId="0" xfId="1" applyNumberFormat="1" applyFont="1"/>
    <xf numFmtId="44" fontId="5" fillId="0" borderId="0" xfId="0" applyNumberFormat="1" applyFont="1"/>
    <xf numFmtId="44" fontId="5" fillId="0" borderId="0" xfId="1" applyNumberFormat="1" applyFont="1"/>
    <xf numFmtId="44" fontId="5" fillId="0" borderId="0" xfId="1" applyFont="1"/>
  </cellXfs>
  <cellStyles count="2">
    <cellStyle name="Moneda" xfId="1" builtinId="4"/>
    <cellStyle name="Normal" xfId="0" builtinId="0"/>
  </cellStyles>
  <dxfs count="3">
    <dxf>
      <numFmt numFmtId="30" formatCode="@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</dxfs>
  <tableStyles count="0" defaultTableStyle="TableStyleMedium2" defaultPivotStyle="PivotStyleLight16"/>
  <colors>
    <mruColors>
      <color rgb="FF008080"/>
      <color rgb="FF00CC99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8</xdr:row>
      <xdr:rowOff>19050</xdr:rowOff>
    </xdr:from>
    <xdr:to>
      <xdr:col>12</xdr:col>
      <xdr:colOff>742950</xdr:colOff>
      <xdr:row>19</xdr:row>
      <xdr:rowOff>152400</xdr:rowOff>
    </xdr:to>
    <xdr:pic>
      <xdr:nvPicPr>
        <xdr:cNvPr id="2" name="Imagen 1" descr="Ventajas y desventajas de tener un software contabl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0225" y="1543050"/>
          <a:ext cx="4276725" cy="2228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AB188E3-5347-492C-9A80-AA1244A5B852}" name="Tabla1" displayName="Tabla1" ref="A3:F4" insertRow="1" totalsRowShown="0">
  <autoFilter ref="A3:F4" xr:uid="{2AB188E3-5347-492C-9A80-AA1244A5B852}"/>
  <tableColumns count="6">
    <tableColumn id="1" xr3:uid="{7355158F-C673-4F8D-BDB5-A3BC5D56B114}" name="Num"/>
    <tableColumn id="2" xr3:uid="{147F7C94-E59E-4FAF-98AD-A778989402EF}" name="Nombre"/>
    <tableColumn id="3" xr3:uid="{542B92EB-B870-4349-9077-69630D1133C8}" name="Apellidos"/>
    <tableColumn id="4" xr3:uid="{20296421-A701-4E7F-AEBD-55CC30AF268F}" name="Fecha de Ingreso"/>
    <tableColumn id="5" xr3:uid="{50879E03-9BEC-44F6-8FED-5C4B5F7E0C65}" name="Columna5"/>
    <tableColumn id="6" xr3:uid="{846B7C06-A0A0-4F94-AE3E-8BB55D218418}" name="Columna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8C3EC06-FAA1-42BA-AE40-7AF7CFEF45AF}" name="Catalogo" displayName="Catalogo" ref="A1:D28" totalsRowShown="0">
  <autoFilter ref="A1:D28" xr:uid="{48C3EC06-FAA1-42BA-AE40-7AF7CFEF45AF}"/>
  <tableColumns count="4">
    <tableColumn id="1" xr3:uid="{5D33DE5B-9938-4217-BFC2-F88FCB787091}" name="CODIGO"/>
    <tableColumn id="2" xr3:uid="{27761525-73EF-4AA6-BD8D-D0EF2C80C8A7}" name="CUENTA"/>
    <tableColumn id="5" xr3:uid="{28F5737D-4F4C-4730-9DD0-3139A1B44230}" name="NIVEL"/>
    <tableColumn id="6" xr3:uid="{A2EFF66B-FC22-4395-8413-34FE69E3A37C}" name="NATURALEZ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ECC44-DED9-441D-92C5-AF480884FBBD}" name="Tabla3" displayName="Tabla3" ref="A5:D11" totalsRowShown="0">
  <autoFilter ref="A5:D11" xr:uid="{F62ECC44-DED9-441D-92C5-AF480884FBBD}"/>
  <tableColumns count="4">
    <tableColumn id="1" xr3:uid="{48AF4C3C-9DC7-49EF-AC14-7C9FC13DE84E}" name="ID" dataDxfId="0"/>
    <tableColumn id="2" xr3:uid="{9AD2E5D3-629F-4D3B-B16F-0C74B50922E7}" name="Apellidos"/>
    <tableColumn id="3" xr3:uid="{6F1D535F-7ED8-4FAE-89AB-DEDC748D9372}" name="Nombres"/>
    <tableColumn id="4" xr3:uid="{33A970ED-13F5-437A-9EEE-537B41F4F833}" name="Salario" dataCellStyle="Moned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A883649-65C7-4458-B3EB-031DD1C340B3}" name="Tabla4" displayName="Tabla4" ref="A2:D9" totalsRowShown="0">
  <autoFilter ref="A2:D9" xr:uid="{8A883649-65C7-4458-B3EB-031DD1C340B3}"/>
  <tableColumns count="4">
    <tableColumn id="1" xr3:uid="{DAB79A8D-80D6-42F9-9FD6-46363F5863C7}" name="Prestaciones"/>
    <tableColumn id="2" xr3:uid="{A2ECE377-D5EA-4608-8C9A-21BD939DA5A7}" name="Semanal " dataDxfId="2">
      <calculatedColumnFormula>H2*7</calculatedColumnFormula>
    </tableColumn>
    <tableColumn id="3" xr3:uid="{DE81C861-4D7D-4399-BB9F-92601DDC6225}" name="Diario " dataDxfId="1" dataCellStyle="Moneda">
      <calculatedColumnFormula>Tabla4[[#This Row],[Semanal ]]/52</calculatedColumnFormula>
    </tableColumn>
    <tableColumn id="4" xr3:uid="{6DE301A9-4CD7-40BA-A892-F7729758BB8E}" name="Hora" dataCellStyle="Mon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4" tint="0.59999389629810485"/>
  </sheetPr>
  <dimension ref="A1:Q25"/>
  <sheetViews>
    <sheetView zoomScaleNormal="100" workbookViewId="0">
      <selection activeCell="B3" sqref="B3:E4"/>
    </sheetView>
  </sheetViews>
  <sheetFormatPr baseColWidth="10" defaultRowHeight="15" x14ac:dyDescent="0.25"/>
  <sheetData>
    <row r="1" spans="1:17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4"/>
    </row>
    <row r="2" spans="1:17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</row>
    <row r="3" spans="1:17" x14ac:dyDescent="0.25">
      <c r="A3" s="3"/>
      <c r="B3" s="17" t="s">
        <v>0</v>
      </c>
      <c r="C3" s="18"/>
      <c r="D3" s="18"/>
      <c r="E3" s="18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</row>
    <row r="4" spans="1:17" x14ac:dyDescent="0.25">
      <c r="A4" s="3"/>
      <c r="B4" s="18"/>
      <c r="C4" s="18"/>
      <c r="D4" s="18"/>
      <c r="E4" s="18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</row>
    <row r="5" spans="1:17" x14ac:dyDescent="0.25">
      <c r="A5" s="5"/>
      <c r="B5" s="6"/>
      <c r="C5" s="7"/>
      <c r="D5" s="7"/>
      <c r="E5" s="7"/>
      <c r="F5" s="7"/>
      <c r="G5" s="7"/>
      <c r="H5" s="15"/>
      <c r="I5" s="14"/>
      <c r="J5" s="7"/>
      <c r="K5" s="7"/>
      <c r="L5" s="7"/>
      <c r="M5" s="7"/>
      <c r="N5" s="7"/>
      <c r="O5" s="5"/>
      <c r="P5" s="5"/>
      <c r="Q5" s="4"/>
    </row>
    <row r="6" spans="1:1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ht="15" customHeight="1" x14ac:dyDescent="0.25">
      <c r="A7" s="19"/>
      <c r="B7" s="19"/>
      <c r="C7" s="19"/>
      <c r="D7" s="19"/>
      <c r="E7" s="11"/>
      <c r="F7" s="1"/>
      <c r="G7" s="1"/>
      <c r="H7" s="16"/>
      <c r="I7" s="16"/>
      <c r="J7" s="2"/>
      <c r="K7" s="2"/>
      <c r="L7" s="2"/>
      <c r="M7" s="2"/>
      <c r="N7" s="2"/>
      <c r="O7" s="2"/>
      <c r="P7" s="1"/>
      <c r="Q7" s="1"/>
    </row>
    <row r="8" spans="1:17" ht="15" customHeight="1" x14ac:dyDescent="0.25">
      <c r="A8" s="19"/>
      <c r="B8" s="19"/>
      <c r="C8" s="19"/>
      <c r="D8" s="19"/>
      <c r="E8" s="12"/>
      <c r="F8" s="2"/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5">
      <c r="A9" s="14"/>
      <c r="B9" s="14"/>
      <c r="C9" s="14"/>
      <c r="D9" s="14"/>
      <c r="E9" s="2"/>
      <c r="F9" s="2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5">
      <c r="A10" s="14"/>
      <c r="B10" s="14"/>
      <c r="C10" s="14"/>
      <c r="D10" s="14"/>
      <c r="E10" s="2"/>
      <c r="F10" s="2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5">
      <c r="A11" s="14"/>
      <c r="B11" s="14"/>
      <c r="C11" s="14"/>
      <c r="D11" s="14"/>
      <c r="E11" s="2"/>
      <c r="F11" s="2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</row>
    <row r="12" spans="1:17" x14ac:dyDescent="0.25">
      <c r="A12" s="14"/>
      <c r="B12" s="14"/>
      <c r="C12" s="14"/>
      <c r="D12" s="14"/>
      <c r="E12" s="2"/>
      <c r="F12" s="1"/>
      <c r="G12" s="1"/>
      <c r="H12" s="1"/>
      <c r="I12" s="2"/>
      <c r="K12" s="1"/>
      <c r="L12" s="1"/>
      <c r="M12" s="1"/>
      <c r="N12" s="1"/>
      <c r="O12" s="1"/>
      <c r="P12" s="1"/>
      <c r="Q12" s="1"/>
    </row>
    <row r="13" spans="1:17" x14ac:dyDescent="0.25">
      <c r="A13" s="14"/>
      <c r="B13" s="14"/>
      <c r="C13" s="14"/>
      <c r="D13" s="14"/>
      <c r="E13" s="2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5">
      <c r="A14" s="14"/>
      <c r="B14" s="14"/>
      <c r="C14" s="14"/>
      <c r="D14" s="14"/>
      <c r="E14" s="2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5">
      <c r="A15" s="14"/>
      <c r="B15" s="14"/>
      <c r="C15" s="14"/>
      <c r="D15" s="14"/>
      <c r="E15" s="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5">
      <c r="A16" s="14"/>
      <c r="B16" s="14"/>
      <c r="C16" s="14"/>
      <c r="D16" s="14"/>
      <c r="E16" s="9"/>
      <c r="F16" s="1"/>
      <c r="G16" s="9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5">
      <c r="A17" s="14"/>
      <c r="B17" s="14"/>
      <c r="C17" s="14"/>
      <c r="D17" s="14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  <row r="18" spans="1:17" x14ac:dyDescent="0.25">
      <c r="A18" s="14"/>
      <c r="B18" s="14"/>
      <c r="C18" s="14"/>
      <c r="D18" s="14"/>
      <c r="E18" s="9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</row>
    <row r="19" spans="1:17" x14ac:dyDescent="0.25">
      <c r="A19" s="14"/>
      <c r="B19" s="14"/>
      <c r="C19" s="14"/>
      <c r="D19" s="14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</row>
    <row r="20" spans="1:17" x14ac:dyDescent="0.25">
      <c r="A20" s="14"/>
      <c r="B20" s="14"/>
      <c r="C20" s="14"/>
      <c r="D20" s="14"/>
      <c r="E20" s="2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</row>
    <row r="21" spans="1:17" x14ac:dyDescent="0.25">
      <c r="A21" s="14"/>
      <c r="B21" s="14"/>
      <c r="C21" s="14"/>
      <c r="D21" s="14"/>
      <c r="E21" s="10"/>
      <c r="F21" s="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</row>
    <row r="22" spans="1:17" x14ac:dyDescent="0.25">
      <c r="A22" s="14"/>
      <c r="B22" s="14"/>
      <c r="C22" s="14"/>
      <c r="D22" s="14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</row>
    <row r="23" spans="1:1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</row>
    <row r="24" spans="1:17" x14ac:dyDescent="0.2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</row>
    <row r="25" spans="1:17" x14ac:dyDescent="0.2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</row>
  </sheetData>
  <mergeCells count="11">
    <mergeCell ref="H5:I5"/>
    <mergeCell ref="H7:I7"/>
    <mergeCell ref="B3:E4"/>
    <mergeCell ref="A7:D8"/>
    <mergeCell ref="A19:D20"/>
    <mergeCell ref="A21:D22"/>
    <mergeCell ref="A9:D10"/>
    <mergeCell ref="A11:D12"/>
    <mergeCell ref="A13:D14"/>
    <mergeCell ref="A15:D16"/>
    <mergeCell ref="A17:D1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E64116-C72C-43FD-86B2-BB73A8327021}">
  <sheetPr codeName="Hoja3">
    <tabColor theme="4" tint="0.39997558519241921"/>
  </sheetPr>
  <dimension ref="A1:F3"/>
  <sheetViews>
    <sheetView workbookViewId="0">
      <selection activeCell="E3" sqref="E3"/>
    </sheetView>
  </sheetViews>
  <sheetFormatPr baseColWidth="10" defaultRowHeight="15" x14ac:dyDescent="0.25"/>
  <cols>
    <col min="1" max="3" width="12" customWidth="1"/>
    <col min="4" max="4" width="17.140625" customWidth="1"/>
    <col min="5" max="6" width="12" customWidth="1"/>
  </cols>
  <sheetData>
    <row r="1" spans="1:6" x14ac:dyDescent="0.25">
      <c r="A1" s="20" t="s">
        <v>14</v>
      </c>
      <c r="B1" s="20"/>
      <c r="C1" s="20"/>
      <c r="D1" s="20"/>
      <c r="E1" s="20"/>
      <c r="F1" s="20"/>
    </row>
    <row r="3" spans="1:6" x14ac:dyDescent="0.25">
      <c r="A3" t="s">
        <v>11</v>
      </c>
      <c r="B3" t="s">
        <v>12</v>
      </c>
      <c r="C3" t="s">
        <v>13</v>
      </c>
      <c r="D3" t="s">
        <v>15</v>
      </c>
      <c r="E3" t="s">
        <v>9</v>
      </c>
      <c r="F3" t="s">
        <v>10</v>
      </c>
    </row>
  </sheetData>
  <mergeCells count="1">
    <mergeCell ref="A1:F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4" tint="0.39997558519241921"/>
  </sheetPr>
  <dimension ref="A1:D3"/>
  <sheetViews>
    <sheetView workbookViewId="0">
      <selection activeCell="E10" sqref="E10"/>
    </sheetView>
  </sheetViews>
  <sheetFormatPr baseColWidth="10" defaultRowHeight="15" x14ac:dyDescent="0.25"/>
  <cols>
    <col min="1" max="1" width="16.7109375" customWidth="1"/>
    <col min="2" max="2" width="51.85546875" customWidth="1"/>
    <col min="3" max="3" width="11" customWidth="1"/>
    <col min="4" max="4" width="17.5703125" customWidth="1"/>
  </cols>
  <sheetData>
    <row r="1" spans="1:4" x14ac:dyDescent="0.25">
      <c r="A1" t="s">
        <v>4</v>
      </c>
      <c r="B1" t="s">
        <v>1</v>
      </c>
      <c r="C1" t="s">
        <v>3</v>
      </c>
      <c r="D1" t="s">
        <v>2</v>
      </c>
    </row>
    <row r="2" spans="1:4" x14ac:dyDescent="0.25">
      <c r="A2">
        <v>11</v>
      </c>
      <c r="B2" t="s">
        <v>5</v>
      </c>
      <c r="C2">
        <v>1</v>
      </c>
      <c r="D2" t="s">
        <v>6</v>
      </c>
    </row>
    <row r="3" spans="1:4" x14ac:dyDescent="0.25">
      <c r="A3">
        <v>22</v>
      </c>
      <c r="B3" t="s">
        <v>7</v>
      </c>
      <c r="C3">
        <v>2</v>
      </c>
      <c r="D3" t="s">
        <v>8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DCB14-76FC-410D-9BE3-23F2D4CD2DB9}">
  <sheetPr codeName="Hoja6"/>
  <dimension ref="A3:G11"/>
  <sheetViews>
    <sheetView workbookViewId="0">
      <selection activeCell="C17" sqref="C17"/>
    </sheetView>
  </sheetViews>
  <sheetFormatPr baseColWidth="10" defaultRowHeight="15" x14ac:dyDescent="0.25"/>
  <cols>
    <col min="1" max="1" width="14.85546875" customWidth="1"/>
    <col min="2" max="2" width="22.140625" customWidth="1"/>
    <col min="3" max="3" width="24.5703125" customWidth="1"/>
    <col min="4" max="4" width="14.7109375" customWidth="1"/>
  </cols>
  <sheetData>
    <row r="3" spans="1:7" x14ac:dyDescent="0.25">
      <c r="G3" s="26"/>
    </row>
    <row r="4" spans="1:7" x14ac:dyDescent="0.25">
      <c r="E4" s="13"/>
    </row>
    <row r="5" spans="1:7" x14ac:dyDescent="0.25">
      <c r="A5" t="s">
        <v>36</v>
      </c>
      <c r="B5" t="s">
        <v>13</v>
      </c>
      <c r="C5" t="s">
        <v>37</v>
      </c>
      <c r="D5" t="s">
        <v>38</v>
      </c>
    </row>
    <row r="6" spans="1:7" x14ac:dyDescent="0.25">
      <c r="A6" s="26" t="s">
        <v>31</v>
      </c>
      <c r="B6" t="s">
        <v>43</v>
      </c>
      <c r="C6" t="s">
        <v>48</v>
      </c>
      <c r="D6" s="13"/>
    </row>
    <row r="7" spans="1:7" x14ac:dyDescent="0.25">
      <c r="A7" s="26" t="s">
        <v>39</v>
      </c>
      <c r="B7" t="s">
        <v>44</v>
      </c>
      <c r="C7" t="s">
        <v>49</v>
      </c>
      <c r="D7" s="13"/>
    </row>
    <row r="8" spans="1:7" x14ac:dyDescent="0.25">
      <c r="A8" s="26" t="s">
        <v>40</v>
      </c>
      <c r="B8" t="s">
        <v>45</v>
      </c>
      <c r="C8" t="s">
        <v>50</v>
      </c>
      <c r="D8" s="13"/>
    </row>
    <row r="9" spans="1:7" x14ac:dyDescent="0.25">
      <c r="A9" s="26" t="s">
        <v>41</v>
      </c>
      <c r="B9" t="s">
        <v>46</v>
      </c>
      <c r="C9" t="s">
        <v>51</v>
      </c>
      <c r="D9" s="13">
        <v>104.3039</v>
      </c>
    </row>
    <row r="10" spans="1:7" x14ac:dyDescent="0.25">
      <c r="A10" s="26" t="s">
        <v>42</v>
      </c>
      <c r="B10" t="s">
        <v>47</v>
      </c>
      <c r="C10" t="s">
        <v>52</v>
      </c>
      <c r="D10" s="13"/>
    </row>
    <row r="11" spans="1:7" x14ac:dyDescent="0.25">
      <c r="A11" s="26"/>
      <c r="D11" s="13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2C65F-B762-405F-BD17-F831610FD251}">
  <sheetPr codeName="Hoja4">
    <tabColor theme="8" tint="0.39997558519241921"/>
  </sheetPr>
  <dimension ref="A1:J16"/>
  <sheetViews>
    <sheetView tabSelected="1" workbookViewId="0">
      <selection activeCell="D17" sqref="D17"/>
    </sheetView>
  </sheetViews>
  <sheetFormatPr baseColWidth="10" defaultRowHeight="15" x14ac:dyDescent="0.25"/>
  <cols>
    <col min="1" max="1" width="14.42578125" customWidth="1"/>
    <col min="7" max="7" width="17.28515625" customWidth="1"/>
    <col min="8" max="9" width="16.28515625" customWidth="1"/>
    <col min="10" max="10" width="11.85546875" bestFit="1" customWidth="1"/>
  </cols>
  <sheetData>
    <row r="1" spans="1:10" x14ac:dyDescent="0.25">
      <c r="G1" s="24" t="s">
        <v>28</v>
      </c>
      <c r="H1" t="s">
        <v>21</v>
      </c>
      <c r="I1" t="s">
        <v>26</v>
      </c>
      <c r="J1" t="s">
        <v>29</v>
      </c>
    </row>
    <row r="2" spans="1:10" x14ac:dyDescent="0.25">
      <c r="A2" t="s">
        <v>16</v>
      </c>
      <c r="B2" t="s">
        <v>22</v>
      </c>
      <c r="C2" t="s">
        <v>23</v>
      </c>
      <c r="D2" t="s">
        <v>24</v>
      </c>
      <c r="G2" s="26"/>
      <c r="H2" s="13"/>
    </row>
    <row r="3" spans="1:10" x14ac:dyDescent="0.25">
      <c r="A3" t="s">
        <v>25</v>
      </c>
      <c r="B3" s="21">
        <f t="shared" ref="B3" si="0">H2*7</f>
        <v>0</v>
      </c>
      <c r="C3" s="13">
        <f>Tabla4[[#This Row],[Semanal ]]/52</f>
        <v>0</v>
      </c>
      <c r="D3" s="13"/>
    </row>
    <row r="4" spans="1:10" x14ac:dyDescent="0.25">
      <c r="A4" t="s">
        <v>17</v>
      </c>
      <c r="B4" s="21">
        <f>((H8*H2)+I8*(H8*H2))/52</f>
        <v>0</v>
      </c>
      <c r="C4" s="13"/>
      <c r="D4" s="13"/>
      <c r="G4" s="24" t="s">
        <v>18</v>
      </c>
      <c r="H4" t="s">
        <v>53</v>
      </c>
      <c r="I4" t="s">
        <v>27</v>
      </c>
    </row>
    <row r="5" spans="1:10" x14ac:dyDescent="0.25">
      <c r="A5" t="s">
        <v>18</v>
      </c>
      <c r="B5" s="21">
        <f>(I5*H2)/52</f>
        <v>0</v>
      </c>
      <c r="C5" s="13"/>
      <c r="D5" s="13"/>
      <c r="I5">
        <f>IF(H5=1,10,IF(H5&lt;4,10,IF(H5=4,15,IF(H5&lt;11,15,18))))</f>
        <v>10</v>
      </c>
    </row>
    <row r="6" spans="1:10" x14ac:dyDescent="0.25">
      <c r="A6" t="s">
        <v>19</v>
      </c>
      <c r="B6" s="21">
        <f>(B3+B4)*H10</f>
        <v>0</v>
      </c>
      <c r="C6" s="13"/>
      <c r="D6" s="13"/>
      <c r="J6">
        <f>IF(I5&gt;=1,10,IF(I5&lt;=3,10,IF(I5&lt;=10,15,18)))</f>
        <v>10</v>
      </c>
    </row>
    <row r="7" spans="1:10" x14ac:dyDescent="0.25">
      <c r="A7" t="s">
        <v>20</v>
      </c>
      <c r="B7" s="21">
        <f>(B3+B4)*H12</f>
        <v>0</v>
      </c>
      <c r="C7" s="13"/>
      <c r="D7" s="13"/>
      <c r="G7" s="24" t="s">
        <v>17</v>
      </c>
      <c r="H7" t="s">
        <v>27</v>
      </c>
      <c r="I7" t="s">
        <v>30</v>
      </c>
    </row>
    <row r="8" spans="1:10" x14ac:dyDescent="0.25">
      <c r="B8" s="28"/>
      <c r="C8" s="29"/>
      <c r="D8" s="30"/>
      <c r="H8" s="22">
        <v>15</v>
      </c>
      <c r="I8" s="23">
        <v>0.3</v>
      </c>
    </row>
    <row r="9" spans="1:10" x14ac:dyDescent="0.25">
      <c r="A9" t="s">
        <v>32</v>
      </c>
      <c r="B9" s="21"/>
      <c r="C9" s="27"/>
      <c r="D9" s="13"/>
    </row>
    <row r="10" spans="1:10" x14ac:dyDescent="0.25">
      <c r="G10" s="24" t="s">
        <v>19</v>
      </c>
      <c r="H10" s="25">
        <v>7.4999999999999997E-2</v>
      </c>
    </row>
    <row r="12" spans="1:10" x14ac:dyDescent="0.25">
      <c r="G12" s="24" t="s">
        <v>20</v>
      </c>
      <c r="H12" s="25">
        <v>7.7499999999999999E-2</v>
      </c>
    </row>
    <row r="13" spans="1:10" x14ac:dyDescent="0.25">
      <c r="B13" t="s">
        <v>34</v>
      </c>
      <c r="C13" s="13"/>
    </row>
    <row r="14" spans="1:10" x14ac:dyDescent="0.25">
      <c r="B14" t="s">
        <v>35</v>
      </c>
      <c r="C14" s="21">
        <f>H2*I2</f>
        <v>0</v>
      </c>
    </row>
    <row r="15" spans="1:10" x14ac:dyDescent="0.25">
      <c r="B15" t="s">
        <v>23</v>
      </c>
      <c r="C15" s="21">
        <f>+H2</f>
        <v>0</v>
      </c>
      <c r="G15" t="s">
        <v>33</v>
      </c>
      <c r="H15" s="22" t="e">
        <f>B9/C14</f>
        <v>#DIV/0!</v>
      </c>
    </row>
    <row r="16" spans="1:10" x14ac:dyDescent="0.25">
      <c r="B16" t="s">
        <v>24</v>
      </c>
      <c r="C16" s="21" t="e">
        <f>H2/J2</f>
        <v>#DIV/0!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>
  <ribbon>
    <tabs>
      <tab id="customTab" label="Sistema Contable" insertAfterMso="TabHome">
        <group id="conta" label="Contabilidad">
          <button id="asientos" label="Asientos" onAction="form_asientos" size="large" imageMso="MasterPageAddNew"/>
          <button id="cuentas" label="Catalogo de Cuentas" size="large" onAction="form_CatCuentas" imageMso="BuildingBlocksOrganizer"/>
          <button id="balComprobacion" label="Balance de Comprobación" size="large" imageMso="ConflictsAcceptMenu"/>
        </group>
        <group id="empleados" label="Empleados">
          <button id="costoEmpleado" label="Costeo" size="large" onAction="form_asientos" imageMso="AccessTableContacts"/>
          <button id="nomina" label="Nómina" size="large" imageMso="AuthorHighlightingHide"/>
        </group>
        <group id="estados" label="Estados Financieros">
          <button id="resultados" label="Estado de Resultados" size="large" imageMso="AccessReportMore"/>
          <button id="capital" label="Estado de Capital" size="large" imageMso="ReportsProject"/>
          <button id="balance" label="Balance General" size="large" imageMso="MasterDocumentShow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Inicio</vt:lpstr>
      <vt:lpstr>Asientos</vt:lpstr>
      <vt:lpstr>Catalogo</vt:lpstr>
      <vt:lpstr>Nomina</vt:lpstr>
      <vt:lpstr>Prestaciones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</dc:creator>
  <cp:lastModifiedBy>DELL</cp:lastModifiedBy>
  <dcterms:created xsi:type="dcterms:W3CDTF">2021-09-29T21:18:37Z</dcterms:created>
  <dcterms:modified xsi:type="dcterms:W3CDTF">2021-10-16T07:15:34Z</dcterms:modified>
</cp:coreProperties>
</file>