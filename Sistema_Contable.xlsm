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6430cf5b28142a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sistema\Sistema-Contable\"/>
    </mc:Choice>
  </mc:AlternateContent>
  <xr:revisionPtr revIDLastSave="0" documentId="13_ncr:1_{2346AD82-2F11-42B0-80A1-008DB1ADEA15}" xr6:coauthVersionLast="47" xr6:coauthVersionMax="47" xr10:uidLastSave="{00000000-0000-0000-0000-000000000000}"/>
  <bookViews>
    <workbookView xWindow="810" yWindow="-120" windowWidth="19800" windowHeight="11760" activeTab="2" xr2:uid="{00000000-000D-0000-FFFF-FFFF00000000}"/>
  </bookViews>
  <sheets>
    <sheet name="Inicio" sheetId="1" r:id="rId1"/>
    <sheet name="Catalogo" sheetId="2" r:id="rId2"/>
    <sheet name="Asientos diarios" sheetId="3" r:id="rId3"/>
    <sheet name="Nomina" sheetId="6" r:id="rId4"/>
    <sheet name="Prestaciones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4" l="1"/>
  <c r="J6" i="4" s="1"/>
  <c r="B5" i="4" l="1"/>
  <c r="C16" i="4" l="1"/>
  <c r="C15" i="4"/>
  <c r="C14" i="4"/>
  <c r="B4" i="4"/>
  <c r="B3" i="4" l="1"/>
  <c r="B7" i="4" l="1"/>
  <c r="B6" i="4"/>
  <c r="H15" i="4" s="1"/>
  <c r="C3" i="4"/>
</calcChain>
</file>

<file path=xl/sharedStrings.xml><?xml version="1.0" encoding="utf-8"?>
<sst xmlns="http://schemas.openxmlformats.org/spreadsheetml/2006/main" count="129" uniqueCount="89">
  <si>
    <t>DASHBOARD</t>
  </si>
  <si>
    <t>CUENTA</t>
  </si>
  <si>
    <t>NATURALEZA</t>
  </si>
  <si>
    <t>NIVEL</t>
  </si>
  <si>
    <t>CODIGO</t>
  </si>
  <si>
    <t>prueba</t>
  </si>
  <si>
    <t>Apellidos</t>
  </si>
  <si>
    <t>Prestaciones</t>
  </si>
  <si>
    <t>Vacaciones</t>
  </si>
  <si>
    <t>Aguinaldo</t>
  </si>
  <si>
    <t>ISSS</t>
  </si>
  <si>
    <t>AFP</t>
  </si>
  <si>
    <t>Salario diario</t>
  </si>
  <si>
    <t xml:space="preserve">Semanal </t>
  </si>
  <si>
    <t xml:space="preserve">Diario </t>
  </si>
  <si>
    <t>Hora</t>
  </si>
  <si>
    <t>Septimo dia</t>
  </si>
  <si>
    <t>Dias de trabajo</t>
  </si>
  <si>
    <t>Dias</t>
  </si>
  <si>
    <t>Datos empleado</t>
  </si>
  <si>
    <t>Horas</t>
  </si>
  <si>
    <t>Recargo</t>
  </si>
  <si>
    <t>001</t>
  </si>
  <si>
    <t>Costo real</t>
  </si>
  <si>
    <t>Factor de recargo</t>
  </si>
  <si>
    <t xml:space="preserve">Nominal </t>
  </si>
  <si>
    <t>Semana</t>
  </si>
  <si>
    <t>ID</t>
  </si>
  <si>
    <t>Nombres</t>
  </si>
  <si>
    <t>Salario</t>
  </si>
  <si>
    <t>002</t>
  </si>
  <si>
    <t>003</t>
  </si>
  <si>
    <t>004</t>
  </si>
  <si>
    <t>005</t>
  </si>
  <si>
    <t>Mendoza Lopez</t>
  </si>
  <si>
    <t>Mendoza Gonzales</t>
  </si>
  <si>
    <t>Ponce Portillo</t>
  </si>
  <si>
    <t>Sandoval Portillo</t>
  </si>
  <si>
    <t>Orellana</t>
  </si>
  <si>
    <t>Roxana</t>
  </si>
  <si>
    <t xml:space="preserve">Luis </t>
  </si>
  <si>
    <t>Mau</t>
  </si>
  <si>
    <t>Marisol</t>
  </si>
  <si>
    <t>Omar</t>
  </si>
  <si>
    <t>Tiempo Empresa</t>
  </si>
  <si>
    <t>Fecha</t>
  </si>
  <si>
    <t>Código</t>
  </si>
  <si>
    <t>Cuenta</t>
  </si>
  <si>
    <t>Debe</t>
  </si>
  <si>
    <t>Haber</t>
  </si>
  <si>
    <t>Columna1</t>
  </si>
  <si>
    <t>Numero</t>
  </si>
  <si>
    <t>Acreedora</t>
  </si>
  <si>
    <t>Deudora</t>
  </si>
  <si>
    <t>PASIVOS</t>
  </si>
  <si>
    <t>ACTIVOS</t>
  </si>
  <si>
    <t>ACTIVO CORRIENTE</t>
  </si>
  <si>
    <t>Caja</t>
  </si>
  <si>
    <t>EFECTIVO Y EQUIVALENTES AL EFECTIVO</t>
  </si>
  <si>
    <t>Bancos</t>
  </si>
  <si>
    <t>CUENTAS POR COBRAR</t>
  </si>
  <si>
    <t>ACCIONISTAS</t>
  </si>
  <si>
    <t>IVA CREDITO FISCAL</t>
  </si>
  <si>
    <t>INVENTARIOS</t>
  </si>
  <si>
    <t>GASTOS PAGADOS POR ANTICIPADO</t>
  </si>
  <si>
    <t>Primas de seguro aun no vencidas</t>
  </si>
  <si>
    <t>Papelería y útiles en existencia</t>
  </si>
  <si>
    <t>ACTIVO NO CORRIENTE</t>
  </si>
  <si>
    <t>PROPIEDAD PLANTA Y EQUIPO</t>
  </si>
  <si>
    <t>Edificios</t>
  </si>
  <si>
    <t>Maquinaria y Equipo</t>
  </si>
  <si>
    <t>Mobiliario</t>
  </si>
  <si>
    <t>Vehiculos</t>
  </si>
  <si>
    <t>DEPRECIACION ACUMULADA</t>
  </si>
  <si>
    <t>CUENTAS POR COBRAR A LARGO PLAZO</t>
  </si>
  <si>
    <t>ACTIVOS INTAGIBLES</t>
  </si>
  <si>
    <t xml:space="preserve">Patentes y marcas </t>
  </si>
  <si>
    <t>Gastos de legalización y organización</t>
  </si>
  <si>
    <t>PASIVO CORRIENTE</t>
  </si>
  <si>
    <t>SOBREGIROS Y PRESTAMOS BANCARIOS</t>
  </si>
  <si>
    <t>CUENTAS POR PAGAR</t>
  </si>
  <si>
    <t>RETENCIONES Y DESCUENTOS</t>
  </si>
  <si>
    <t>IVA DÉBITO FISCAL</t>
  </si>
  <si>
    <t>PASIVOS NO CORRIENTES</t>
  </si>
  <si>
    <t>PRESTAMOS BANCARIOS A LARGO PLAZO</t>
  </si>
  <si>
    <t>PROVISION PARA OBLIGACIONES LABORALES</t>
  </si>
  <si>
    <t>Indemnizaciones</t>
  </si>
  <si>
    <t xml:space="preserve">PATRIMONIO 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</si>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</sst>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0"/>
      <name val="Roboto"/>
    </font>
    <font>
      <b/>
      <sz val="14"/>
      <color theme="0"/>
      <name val="Roboto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Border="1"/>
    <xf numFmtId="0" fontId="0" fillId="2" borderId="3" xfId="0" applyFill="1" applyBorder="1"/>
    <xf numFmtId="0" fontId="0" fillId="2" borderId="1" xfId="0" applyFill="1" applyBorder="1"/>
    <xf numFmtId="0" fontId="0" fillId="0" borderId="2" xfId="0" applyFill="1" applyBorder="1"/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44" fontId="0" fillId="0" borderId="0" xfId="1" applyFont="1"/>
    <xf numFmtId="44" fontId="0" fillId="0" borderId="0" xfId="0" applyNumberFormat="1"/>
    <xf numFmtId="2" fontId="0" fillId="0" borderId="0" xfId="0" applyNumberFormat="1"/>
    <xf numFmtId="9" fontId="0" fillId="0" borderId="0" xfId="0" applyNumberFormat="1"/>
    <xf numFmtId="0" fontId="0" fillId="6" borderId="0" xfId="0" applyFill="1"/>
    <xf numFmtId="10" fontId="0" fillId="0" borderId="0" xfId="0" applyNumberFormat="1"/>
    <xf numFmtId="49" fontId="0" fillId="0" borderId="0" xfId="0" applyNumberFormat="1"/>
    <xf numFmtId="44" fontId="0" fillId="0" borderId="0" xfId="1" applyNumberFormat="1" applyFont="1"/>
    <xf numFmtId="44" fontId="5" fillId="0" borderId="0" xfId="0" applyNumberFormat="1" applyFont="1"/>
    <xf numFmtId="44" fontId="5" fillId="0" borderId="0" xfId="1" applyNumberFormat="1" applyFont="1"/>
    <xf numFmtId="44" fontId="5" fillId="0" borderId="0" xfId="1" applyFont="1"/>
    <xf numFmtId="0" fontId="0" fillId="7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/>
    <xf numFmtId="0" fontId="0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</cellXfs>
  <cellStyles count="2">
    <cellStyle name="Moneda" xfId="1" builtinId="4"/>
    <cellStyle name="Normal" xfId="0" builtinId="0"/>
  </cellStyles>
  <dxfs count="4">
    <dxf>
      <alignment vertical="center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0" formatCode="@"/>
    </dxf>
  </dxfs>
  <tableStyles count="0" defaultTableStyle="TableStyleMedium2" defaultPivotStyle="PivotStyleLight16"/>
  <colors>
    <mruColors>
      <color rgb="FF008080"/>
      <color rgb="FF00CC99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8</xdr:row>
      <xdr:rowOff>19050</xdr:rowOff>
    </xdr:from>
    <xdr:to>
      <xdr:col>12</xdr:col>
      <xdr:colOff>742950</xdr:colOff>
      <xdr:row>19</xdr:row>
      <xdr:rowOff>152400</xdr:rowOff>
    </xdr:to>
    <xdr:pic>
      <xdr:nvPicPr>
        <xdr:cNvPr id="2" name="Imagen 1" descr="Ventajas y desventajas de tener un software contab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1543050"/>
          <a:ext cx="427672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C3EC06-FAA1-42BA-AE40-7AF7CFEF45AF}" name="Catalogo" displayName="Catalogo" ref="A1:D36" totalsRowShown="0">
  <autoFilter ref="A1:D36" xr:uid="{48C3EC06-FAA1-42BA-AE40-7AF7CFEF45AF}"/>
  <tableColumns count="4">
    <tableColumn id="1" xr3:uid="{5D33DE5B-9938-4217-BFC2-F88FCB787091}" name="CODIGO" dataDxfId="0"/>
    <tableColumn id="2" xr3:uid="{27761525-73EF-4AA6-BD8D-D0EF2C80C8A7}" name="CUENTA"/>
    <tableColumn id="5" xr3:uid="{28F5737D-4F4C-4730-9DD0-3139A1B44230}" name="NIVEL"/>
    <tableColumn id="6" xr3:uid="{A2EFF66B-FC22-4395-8413-34FE69E3A37C}" name="NATURALEZ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B188E3-5347-492C-9A80-AA1244A5B852}" name="Tabla1" displayName="Tabla1" ref="A4:G18" totalsRowShown="0">
  <autoFilter ref="A4:G18" xr:uid="{2AB188E3-5347-492C-9A80-AA1244A5B852}"/>
  <tableColumns count="7">
    <tableColumn id="1" xr3:uid="{7355158F-C673-4F8D-BDB5-A3BC5D56B114}" name="Numero"/>
    <tableColumn id="7" xr3:uid="{C0DBEE80-FF2B-4D10-8AEF-BA5C0D26CE33}" name="Fecha"/>
    <tableColumn id="2" xr3:uid="{147F7C94-E59E-4FAF-98AD-A778989402EF}" name="Código"/>
    <tableColumn id="3" xr3:uid="{542B92EB-B870-4349-9077-69630D1133C8}" name="Cuenta"/>
    <tableColumn id="4" xr3:uid="{20296421-A701-4E7F-AEBD-55CC30AF268F}" name="Debe"/>
    <tableColumn id="5" xr3:uid="{50879E03-9BEC-44F6-8FED-5C4B5F7E0C65}" name="Haber"/>
    <tableColumn id="6" xr3:uid="{846B7C06-A0A0-4F94-AE3E-8BB55D218418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ECC44-DED9-441D-92C5-AF480884FBBD}" name="Tabla3" displayName="Tabla3" ref="A5:D11" totalsRowShown="0">
  <autoFilter ref="A5:D11" xr:uid="{F62ECC44-DED9-441D-92C5-AF480884FBBD}"/>
  <tableColumns count="4">
    <tableColumn id="1" xr3:uid="{48AF4C3C-9DC7-49EF-AC14-7C9FC13DE84E}" name="ID" dataDxfId="3"/>
    <tableColumn id="2" xr3:uid="{9AD2E5D3-629F-4D3B-B16F-0C74B50922E7}" name="Apellidos"/>
    <tableColumn id="3" xr3:uid="{6F1D535F-7ED8-4FAE-89AB-DEDC748D9372}" name="Nombres"/>
    <tableColumn id="4" xr3:uid="{33A970ED-13F5-437A-9EEE-537B41F4F833}" name="Salario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883649-65C7-4458-B3EB-031DD1C340B3}" name="Tabla4" displayName="Tabla4" ref="A2:D9" totalsRowShown="0">
  <autoFilter ref="A2:D9" xr:uid="{8A883649-65C7-4458-B3EB-031DD1C340B3}"/>
  <tableColumns count="4">
    <tableColumn id="1" xr3:uid="{DAB79A8D-80D6-42F9-9FD6-46363F5863C7}" name="Prestaciones"/>
    <tableColumn id="2" xr3:uid="{A2ECE377-D5EA-4608-8C9A-21BD939DA5A7}" name="Semanal " dataDxfId="2">
      <calculatedColumnFormula>H2*7</calculatedColumnFormula>
    </tableColumn>
    <tableColumn id="3" xr3:uid="{DE81C861-4D7D-4399-BB9F-92601DDC6225}" name="Diario " dataDxfId="1" dataCellStyle="Moneda">
      <calculatedColumnFormula>Tabla4[[#This Row],[Semanal ]]/52</calculatedColumnFormula>
    </tableColumn>
    <tableColumn id="4" xr3:uid="{6DE301A9-4CD7-40BA-A892-F7729758BB8E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0.59999389629810485"/>
  </sheetPr>
  <dimension ref="A1:Q25"/>
  <sheetViews>
    <sheetView zoomScaleNormal="100" workbookViewId="0">
      <selection activeCell="F15" sqref="F15"/>
    </sheetView>
  </sheetViews>
  <sheetFormatPr baseColWidth="10" defaultRowHeight="15" x14ac:dyDescent="0.25"/>
  <sheetData>
    <row r="1" spans="1:17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</row>
    <row r="2" spans="1:1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s="3"/>
      <c r="B3" s="28" t="s">
        <v>0</v>
      </c>
      <c r="C3" s="29"/>
      <c r="D3" s="29"/>
      <c r="E3" s="29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x14ac:dyDescent="0.25">
      <c r="A4" s="3"/>
      <c r="B4" s="29"/>
      <c r="C4" s="29"/>
      <c r="D4" s="29"/>
      <c r="E4" s="29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 x14ac:dyDescent="0.25">
      <c r="A5" s="5"/>
      <c r="B5" s="6"/>
      <c r="C5" s="7"/>
      <c r="D5" s="7"/>
      <c r="E5" s="7"/>
      <c r="F5" s="7"/>
      <c r="G5" s="7"/>
      <c r="H5" s="25"/>
      <c r="I5" s="26"/>
      <c r="J5" s="7"/>
      <c r="K5" s="7"/>
      <c r="L5" s="7"/>
      <c r="M5" s="7"/>
      <c r="N5" s="7"/>
      <c r="O5" s="5"/>
      <c r="P5" s="5"/>
      <c r="Q5" s="4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 x14ac:dyDescent="0.25">
      <c r="A7" s="30"/>
      <c r="B7" s="30"/>
      <c r="C7" s="30"/>
      <c r="D7" s="30"/>
      <c r="E7" s="11"/>
      <c r="F7" s="1"/>
      <c r="G7" s="1"/>
      <c r="H7" s="27"/>
      <c r="I7" s="27"/>
      <c r="J7" s="2"/>
      <c r="K7" s="2"/>
      <c r="L7" s="2"/>
      <c r="M7" s="2"/>
      <c r="N7" s="2"/>
      <c r="O7" s="2"/>
      <c r="P7" s="1"/>
      <c r="Q7" s="1"/>
    </row>
    <row r="8" spans="1:17" ht="15" customHeight="1" x14ac:dyDescent="0.25">
      <c r="A8" s="30"/>
      <c r="B8" s="30"/>
      <c r="C8" s="30"/>
      <c r="D8" s="30"/>
      <c r="E8" s="12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24"/>
      <c r="B9" s="24"/>
      <c r="C9" s="24"/>
      <c r="D9" s="24"/>
      <c r="E9" s="2"/>
      <c r="F9" s="2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24"/>
      <c r="B10" s="24"/>
      <c r="C10" s="24"/>
      <c r="D10" s="24"/>
      <c r="E10" s="2"/>
      <c r="F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24"/>
      <c r="B11" s="24"/>
      <c r="C11" s="24"/>
      <c r="D11" s="24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24"/>
      <c r="B12" s="24"/>
      <c r="C12" s="24"/>
      <c r="D12" s="24"/>
      <c r="E12" s="2"/>
      <c r="F12" s="1"/>
      <c r="G12" s="1"/>
      <c r="H12" s="1"/>
      <c r="I12" s="2"/>
      <c r="K12" s="1"/>
      <c r="L12" s="1"/>
      <c r="M12" s="1"/>
      <c r="N12" s="1"/>
      <c r="O12" s="1"/>
      <c r="P12" s="1"/>
      <c r="Q12" s="1"/>
    </row>
    <row r="13" spans="1:17" x14ac:dyDescent="0.25">
      <c r="A13" s="24"/>
      <c r="B13" s="24"/>
      <c r="C13" s="24"/>
      <c r="D13" s="24"/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24"/>
      <c r="B14" s="24"/>
      <c r="C14" s="24"/>
      <c r="D14" s="24"/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24"/>
      <c r="B15" s="24"/>
      <c r="C15" s="24"/>
      <c r="D15" s="24"/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24"/>
      <c r="B16" s="24"/>
      <c r="C16" s="24"/>
      <c r="D16" s="24"/>
      <c r="E16" s="9"/>
      <c r="F16" s="1"/>
      <c r="G16" s="9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24"/>
      <c r="B17" s="24"/>
      <c r="C17" s="24"/>
      <c r="D17" s="2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24"/>
      <c r="B18" s="24"/>
      <c r="C18" s="24"/>
      <c r="D18" s="24"/>
      <c r="E18" s="9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24"/>
      <c r="B19" s="24"/>
      <c r="C19" s="24"/>
      <c r="D19" s="2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24"/>
      <c r="B20" s="24"/>
      <c r="C20" s="24"/>
      <c r="D20" s="24"/>
      <c r="E20" s="2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24"/>
      <c r="B21" s="24"/>
      <c r="C21" s="24"/>
      <c r="D21" s="24"/>
      <c r="E21" s="10"/>
      <c r="F21" s="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24"/>
      <c r="B22" s="24"/>
      <c r="C22" s="24"/>
      <c r="D22" s="24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</sheetData>
  <mergeCells count="11">
    <mergeCell ref="H5:I5"/>
    <mergeCell ref="H7:I7"/>
    <mergeCell ref="B3:E4"/>
    <mergeCell ref="A7:D8"/>
    <mergeCell ref="A19:D20"/>
    <mergeCell ref="A21:D22"/>
    <mergeCell ref="A9:D10"/>
    <mergeCell ref="A11:D12"/>
    <mergeCell ref="A13:D14"/>
    <mergeCell ref="A15:D16"/>
    <mergeCell ref="A17:D1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4" tint="0.39997558519241921"/>
  </sheetPr>
  <dimension ref="A1:O36"/>
  <sheetViews>
    <sheetView topLeftCell="A13" workbookViewId="0">
      <selection activeCell="F21" sqref="F21"/>
    </sheetView>
  </sheetViews>
  <sheetFormatPr baseColWidth="10" defaultRowHeight="15" x14ac:dyDescent="0.25"/>
  <cols>
    <col min="1" max="1" width="8.42578125" customWidth="1"/>
    <col min="2" max="2" width="51.85546875" customWidth="1"/>
    <col min="3" max="3" width="6" customWidth="1"/>
    <col min="4" max="4" width="17.5703125" customWidth="1"/>
  </cols>
  <sheetData>
    <row r="1" spans="1:15" x14ac:dyDescent="0.25">
      <c r="A1" t="s">
        <v>4</v>
      </c>
      <c r="B1" t="s">
        <v>1</v>
      </c>
      <c r="C1" t="s">
        <v>3</v>
      </c>
      <c r="D1" t="s">
        <v>2</v>
      </c>
    </row>
    <row r="2" spans="1:15" x14ac:dyDescent="0.25">
      <c r="A2" s="33">
        <v>1</v>
      </c>
      <c r="B2" s="32" t="s">
        <v>55</v>
      </c>
      <c r="C2" s="32">
        <v>1</v>
      </c>
      <c r="D2" t="s">
        <v>53</v>
      </c>
      <c r="O2" t="s">
        <v>5</v>
      </c>
    </row>
    <row r="3" spans="1:15" x14ac:dyDescent="0.25">
      <c r="A3" s="33">
        <v>11</v>
      </c>
      <c r="B3" s="32" t="s">
        <v>56</v>
      </c>
      <c r="C3" s="32">
        <v>2</v>
      </c>
      <c r="D3" t="s">
        <v>53</v>
      </c>
    </row>
    <row r="4" spans="1:15" x14ac:dyDescent="0.25">
      <c r="A4" s="34">
        <v>1101</v>
      </c>
      <c r="B4" t="s">
        <v>58</v>
      </c>
      <c r="C4">
        <v>3</v>
      </c>
      <c r="D4" t="s">
        <v>53</v>
      </c>
    </row>
    <row r="5" spans="1:15" x14ac:dyDescent="0.25">
      <c r="A5" s="37">
        <v>110101</v>
      </c>
      <c r="B5" s="36" t="s">
        <v>57</v>
      </c>
      <c r="C5" s="32">
        <v>4</v>
      </c>
      <c r="D5" t="s">
        <v>53</v>
      </c>
    </row>
    <row r="6" spans="1:15" x14ac:dyDescent="0.25">
      <c r="A6" s="34">
        <v>110102</v>
      </c>
      <c r="B6" t="s">
        <v>59</v>
      </c>
      <c r="C6">
        <v>4</v>
      </c>
      <c r="D6" t="s">
        <v>53</v>
      </c>
    </row>
    <row r="7" spans="1:15" x14ac:dyDescent="0.25">
      <c r="A7" s="34">
        <v>1102</v>
      </c>
      <c r="B7" t="s">
        <v>60</v>
      </c>
      <c r="C7">
        <v>3</v>
      </c>
      <c r="D7" t="s">
        <v>53</v>
      </c>
    </row>
    <row r="8" spans="1:15" x14ac:dyDescent="0.25">
      <c r="A8" s="35">
        <v>1103</v>
      </c>
      <c r="B8" t="s">
        <v>61</v>
      </c>
      <c r="C8">
        <v>3</v>
      </c>
      <c r="D8" t="s">
        <v>53</v>
      </c>
    </row>
    <row r="9" spans="1:15" x14ac:dyDescent="0.25">
      <c r="A9" s="35">
        <v>1104</v>
      </c>
      <c r="B9" t="s">
        <v>62</v>
      </c>
      <c r="C9">
        <v>3</v>
      </c>
      <c r="D9" t="s">
        <v>53</v>
      </c>
    </row>
    <row r="10" spans="1:15" x14ac:dyDescent="0.25">
      <c r="A10" s="35">
        <v>1105</v>
      </c>
      <c r="B10" t="s">
        <v>63</v>
      </c>
      <c r="C10">
        <v>3</v>
      </c>
      <c r="D10" t="s">
        <v>53</v>
      </c>
    </row>
    <row r="11" spans="1:15" x14ac:dyDescent="0.25">
      <c r="A11" s="35">
        <v>1106</v>
      </c>
      <c r="B11" t="s">
        <v>64</v>
      </c>
      <c r="C11">
        <v>3</v>
      </c>
      <c r="D11" t="s">
        <v>53</v>
      </c>
    </row>
    <row r="12" spans="1:15" x14ac:dyDescent="0.25">
      <c r="A12" s="35">
        <v>110601</v>
      </c>
      <c r="B12" t="s">
        <v>65</v>
      </c>
      <c r="C12">
        <v>4</v>
      </c>
      <c r="D12" t="s">
        <v>53</v>
      </c>
    </row>
    <row r="13" spans="1:15" x14ac:dyDescent="0.25">
      <c r="A13" s="35">
        <v>110602</v>
      </c>
      <c r="B13" t="s">
        <v>66</v>
      </c>
      <c r="C13">
        <v>4</v>
      </c>
      <c r="D13" t="s">
        <v>53</v>
      </c>
    </row>
    <row r="14" spans="1:15" x14ac:dyDescent="0.25">
      <c r="A14" s="38">
        <v>12</v>
      </c>
      <c r="B14" s="32" t="s">
        <v>67</v>
      </c>
      <c r="C14" s="32">
        <v>2</v>
      </c>
      <c r="D14" t="s">
        <v>53</v>
      </c>
    </row>
    <row r="15" spans="1:15" x14ac:dyDescent="0.25">
      <c r="A15" s="35">
        <v>1201</v>
      </c>
      <c r="B15" t="s">
        <v>68</v>
      </c>
      <c r="C15">
        <v>3</v>
      </c>
      <c r="D15" t="s">
        <v>53</v>
      </c>
    </row>
    <row r="16" spans="1:15" x14ac:dyDescent="0.25">
      <c r="A16" s="35">
        <v>120101</v>
      </c>
      <c r="B16" t="s">
        <v>69</v>
      </c>
      <c r="C16">
        <v>4</v>
      </c>
      <c r="D16" t="s">
        <v>53</v>
      </c>
    </row>
    <row r="17" spans="1:4" x14ac:dyDescent="0.25">
      <c r="A17" s="35">
        <v>120102</v>
      </c>
      <c r="B17" t="s">
        <v>70</v>
      </c>
      <c r="C17">
        <v>4</v>
      </c>
      <c r="D17" t="s">
        <v>53</v>
      </c>
    </row>
    <row r="18" spans="1:4" x14ac:dyDescent="0.25">
      <c r="A18" s="35">
        <v>120103</v>
      </c>
      <c r="B18" t="s">
        <v>71</v>
      </c>
      <c r="C18">
        <v>4</v>
      </c>
      <c r="D18" t="s">
        <v>53</v>
      </c>
    </row>
    <row r="19" spans="1:4" x14ac:dyDescent="0.25">
      <c r="A19" s="35">
        <v>120104</v>
      </c>
      <c r="B19" t="s">
        <v>72</v>
      </c>
      <c r="C19">
        <v>4</v>
      </c>
      <c r="D19" t="s">
        <v>53</v>
      </c>
    </row>
    <row r="20" spans="1:4" x14ac:dyDescent="0.25">
      <c r="A20" s="39">
        <v>1202</v>
      </c>
      <c r="B20" s="36" t="s">
        <v>73</v>
      </c>
      <c r="C20" s="36">
        <v>3</v>
      </c>
      <c r="D20" s="36" t="s">
        <v>53</v>
      </c>
    </row>
    <row r="21" spans="1:4" x14ac:dyDescent="0.25">
      <c r="A21" s="35">
        <v>1203</v>
      </c>
      <c r="B21" t="s">
        <v>74</v>
      </c>
      <c r="C21">
        <v>3</v>
      </c>
      <c r="D21" t="s">
        <v>53</v>
      </c>
    </row>
    <row r="22" spans="1:4" x14ac:dyDescent="0.25">
      <c r="A22" s="35">
        <v>1204</v>
      </c>
      <c r="B22" t="s">
        <v>75</v>
      </c>
      <c r="C22">
        <v>3</v>
      </c>
      <c r="D22" t="s">
        <v>53</v>
      </c>
    </row>
    <row r="23" spans="1:4" x14ac:dyDescent="0.25">
      <c r="A23" s="35">
        <v>120401</v>
      </c>
      <c r="B23" t="s">
        <v>76</v>
      </c>
      <c r="C23">
        <v>4</v>
      </c>
      <c r="D23" t="s">
        <v>53</v>
      </c>
    </row>
    <row r="24" spans="1:4" x14ac:dyDescent="0.25">
      <c r="A24" s="35">
        <v>120402</v>
      </c>
      <c r="B24" t="s">
        <v>77</v>
      </c>
      <c r="C24">
        <v>4</v>
      </c>
      <c r="D24" t="s">
        <v>53</v>
      </c>
    </row>
    <row r="25" spans="1:4" x14ac:dyDescent="0.25">
      <c r="A25" s="38">
        <v>2</v>
      </c>
      <c r="B25" s="32" t="s">
        <v>54</v>
      </c>
      <c r="C25" s="32">
        <v>1</v>
      </c>
      <c r="D25" t="s">
        <v>52</v>
      </c>
    </row>
    <row r="26" spans="1:4" x14ac:dyDescent="0.25">
      <c r="A26" s="38">
        <v>21</v>
      </c>
      <c r="B26" s="32" t="s">
        <v>78</v>
      </c>
      <c r="C26" s="32">
        <v>2</v>
      </c>
      <c r="D26" t="s">
        <v>52</v>
      </c>
    </row>
    <row r="27" spans="1:4" x14ac:dyDescent="0.25">
      <c r="A27" s="35">
        <v>2101</v>
      </c>
      <c r="B27" t="s">
        <v>79</v>
      </c>
      <c r="C27">
        <v>3</v>
      </c>
      <c r="D27" t="s">
        <v>52</v>
      </c>
    </row>
    <row r="28" spans="1:4" x14ac:dyDescent="0.25">
      <c r="A28" s="35">
        <v>2102</v>
      </c>
      <c r="B28" t="s">
        <v>80</v>
      </c>
      <c r="C28">
        <v>4</v>
      </c>
      <c r="D28" t="s">
        <v>53</v>
      </c>
    </row>
    <row r="29" spans="1:4" x14ac:dyDescent="0.25">
      <c r="A29" s="35">
        <v>2103</v>
      </c>
      <c r="B29" t="s">
        <v>81</v>
      </c>
      <c r="C29">
        <v>3</v>
      </c>
      <c r="D29" t="s">
        <v>52</v>
      </c>
    </row>
    <row r="30" spans="1:4" x14ac:dyDescent="0.25">
      <c r="A30" s="35">
        <v>2104</v>
      </c>
      <c r="B30" t="s">
        <v>82</v>
      </c>
      <c r="C30">
        <v>3</v>
      </c>
      <c r="D30" t="s">
        <v>52</v>
      </c>
    </row>
    <row r="31" spans="1:4" x14ac:dyDescent="0.25">
      <c r="A31" s="38">
        <v>22</v>
      </c>
      <c r="B31" s="32" t="s">
        <v>83</v>
      </c>
      <c r="C31" s="32">
        <v>2</v>
      </c>
      <c r="D31" t="s">
        <v>52</v>
      </c>
    </row>
    <row r="32" spans="1:4" x14ac:dyDescent="0.25">
      <c r="A32" s="35">
        <v>2201</v>
      </c>
      <c r="B32" t="s">
        <v>84</v>
      </c>
      <c r="C32">
        <v>3</v>
      </c>
      <c r="D32" t="s">
        <v>52</v>
      </c>
    </row>
    <row r="33" spans="1:4" x14ac:dyDescent="0.25">
      <c r="A33" s="35">
        <v>2202</v>
      </c>
      <c r="B33" t="s">
        <v>85</v>
      </c>
      <c r="C33">
        <v>3</v>
      </c>
      <c r="D33" t="s">
        <v>52</v>
      </c>
    </row>
    <row r="34" spans="1:4" x14ac:dyDescent="0.25">
      <c r="A34" s="35">
        <v>220201</v>
      </c>
      <c r="B34" t="s">
        <v>86</v>
      </c>
      <c r="C34">
        <v>4</v>
      </c>
      <c r="D34" t="s">
        <v>52</v>
      </c>
    </row>
    <row r="35" spans="1:4" x14ac:dyDescent="0.25">
      <c r="A35" s="38">
        <v>3</v>
      </c>
      <c r="B35" s="32" t="s">
        <v>87</v>
      </c>
      <c r="C35" s="32">
        <v>1</v>
      </c>
      <c r="D35" t="s">
        <v>52</v>
      </c>
    </row>
    <row r="36" spans="1:4" x14ac:dyDescent="0.25">
      <c r="A36" s="38">
        <v>31</v>
      </c>
      <c r="B36" s="32" t="s">
        <v>88</v>
      </c>
      <c r="C36" s="32">
        <v>2</v>
      </c>
      <c r="D36" t="s">
        <v>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4116-C72C-43FD-86B2-BB73A8327021}">
  <sheetPr codeName="Hoja3">
    <tabColor theme="4" tint="0.39997558519241921"/>
  </sheetPr>
  <dimension ref="A2:G4"/>
  <sheetViews>
    <sheetView tabSelected="1" workbookViewId="0">
      <selection activeCell="D9" sqref="D9"/>
    </sheetView>
  </sheetViews>
  <sheetFormatPr baseColWidth="10" defaultRowHeight="15" x14ac:dyDescent="0.25"/>
  <cols>
    <col min="1" max="1" width="12" customWidth="1"/>
    <col min="2" max="2" width="14.5703125" customWidth="1"/>
    <col min="3" max="3" width="12" customWidth="1"/>
    <col min="4" max="4" width="46.140625" customWidth="1"/>
    <col min="5" max="5" width="17.140625" customWidth="1"/>
    <col min="6" max="6" width="14.42578125" customWidth="1"/>
    <col min="7" max="7" width="12" customWidth="1"/>
  </cols>
  <sheetData>
    <row r="2" spans="1:7" x14ac:dyDescent="0.25">
      <c r="A2" s="31"/>
      <c r="B2" s="31"/>
      <c r="C2" s="31"/>
      <c r="D2" s="31"/>
      <c r="E2" s="31"/>
      <c r="F2" s="31"/>
      <c r="G2" s="31"/>
    </row>
    <row r="4" spans="1:7" x14ac:dyDescent="0.25">
      <c r="A4" t="s">
        <v>51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t="s">
        <v>50</v>
      </c>
    </row>
  </sheetData>
  <mergeCells count="1">
    <mergeCell ref="A2:G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CB14-76FC-410D-9BE3-23F2D4CD2DB9}">
  <sheetPr codeName="Hoja6"/>
  <dimension ref="A3:G11"/>
  <sheetViews>
    <sheetView workbookViewId="0">
      <selection activeCell="L10" sqref="L10"/>
    </sheetView>
  </sheetViews>
  <sheetFormatPr baseColWidth="10" defaultRowHeight="15" x14ac:dyDescent="0.25"/>
  <cols>
    <col min="1" max="1" width="14.85546875" customWidth="1"/>
    <col min="2" max="2" width="22.140625" customWidth="1"/>
    <col min="3" max="3" width="24.5703125" customWidth="1"/>
    <col min="4" max="4" width="14.7109375" customWidth="1"/>
  </cols>
  <sheetData>
    <row r="3" spans="1:7" x14ac:dyDescent="0.25">
      <c r="G3" s="19"/>
    </row>
    <row r="4" spans="1:7" x14ac:dyDescent="0.25">
      <c r="E4" s="13"/>
    </row>
    <row r="5" spans="1:7" x14ac:dyDescent="0.25">
      <c r="A5" t="s">
        <v>27</v>
      </c>
      <c r="B5" t="s">
        <v>6</v>
      </c>
      <c r="C5" t="s">
        <v>28</v>
      </c>
      <c r="D5" t="s">
        <v>29</v>
      </c>
    </row>
    <row r="6" spans="1:7" x14ac:dyDescent="0.25">
      <c r="A6" s="19" t="s">
        <v>22</v>
      </c>
      <c r="B6" t="s">
        <v>34</v>
      </c>
      <c r="C6" t="s">
        <v>39</v>
      </c>
      <c r="D6" s="13"/>
    </row>
    <row r="7" spans="1:7" x14ac:dyDescent="0.25">
      <c r="A7" s="19" t="s">
        <v>30</v>
      </c>
      <c r="B7" t="s">
        <v>35</v>
      </c>
      <c r="C7" t="s">
        <v>40</v>
      </c>
      <c r="D7" s="13"/>
    </row>
    <row r="8" spans="1:7" x14ac:dyDescent="0.25">
      <c r="A8" s="19" t="s">
        <v>31</v>
      </c>
      <c r="B8" t="s">
        <v>36</v>
      </c>
      <c r="C8" t="s">
        <v>41</v>
      </c>
      <c r="D8" s="13"/>
    </row>
    <row r="9" spans="1:7" x14ac:dyDescent="0.25">
      <c r="A9" s="19" t="s">
        <v>32</v>
      </c>
      <c r="B9" t="s">
        <v>37</v>
      </c>
      <c r="C9" t="s">
        <v>42</v>
      </c>
      <c r="D9" s="13">
        <v>104.3039</v>
      </c>
    </row>
    <row r="10" spans="1:7" x14ac:dyDescent="0.25">
      <c r="A10" s="19" t="s">
        <v>33</v>
      </c>
      <c r="B10" t="s">
        <v>38</v>
      </c>
      <c r="C10" t="s">
        <v>43</v>
      </c>
      <c r="D10" s="13"/>
    </row>
    <row r="11" spans="1:7" x14ac:dyDescent="0.25">
      <c r="A11" s="19"/>
      <c r="D11" s="1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2C65F-B762-405F-BD17-F831610FD251}">
  <sheetPr codeName="Hoja4">
    <tabColor theme="8" tint="0.39997558519241921"/>
  </sheetPr>
  <dimension ref="A1:J16"/>
  <sheetViews>
    <sheetView workbookViewId="0">
      <selection activeCell="D17" sqref="D17"/>
    </sheetView>
  </sheetViews>
  <sheetFormatPr baseColWidth="10" defaultRowHeight="15" x14ac:dyDescent="0.25"/>
  <cols>
    <col min="1" max="1" width="14.42578125" customWidth="1"/>
    <col min="7" max="7" width="17.28515625" customWidth="1"/>
    <col min="8" max="9" width="16.28515625" customWidth="1"/>
    <col min="10" max="10" width="11.85546875" bestFit="1" customWidth="1"/>
  </cols>
  <sheetData>
    <row r="1" spans="1:10" x14ac:dyDescent="0.25">
      <c r="G1" s="17" t="s">
        <v>19</v>
      </c>
      <c r="H1" t="s">
        <v>12</v>
      </c>
      <c r="I1" t="s">
        <v>17</v>
      </c>
      <c r="J1" t="s">
        <v>20</v>
      </c>
    </row>
    <row r="2" spans="1:10" x14ac:dyDescent="0.25">
      <c r="A2" t="s">
        <v>7</v>
      </c>
      <c r="B2" t="s">
        <v>13</v>
      </c>
      <c r="C2" t="s">
        <v>14</v>
      </c>
      <c r="D2" t="s">
        <v>15</v>
      </c>
      <c r="G2" s="19"/>
      <c r="H2" s="13"/>
    </row>
    <row r="3" spans="1:10" x14ac:dyDescent="0.25">
      <c r="A3" t="s">
        <v>16</v>
      </c>
      <c r="B3" s="14">
        <f t="shared" ref="B3" si="0">H2*7</f>
        <v>0</v>
      </c>
      <c r="C3" s="13">
        <f>Tabla4[[#This Row],[Semanal ]]/52</f>
        <v>0</v>
      </c>
      <c r="D3" s="13"/>
    </row>
    <row r="4" spans="1:10" x14ac:dyDescent="0.25">
      <c r="A4" t="s">
        <v>8</v>
      </c>
      <c r="B4" s="14">
        <f>((H8*H2)+I8*(H8*H2))/52</f>
        <v>0</v>
      </c>
      <c r="C4" s="13"/>
      <c r="D4" s="13"/>
      <c r="G4" s="17" t="s">
        <v>9</v>
      </c>
      <c r="H4" t="s">
        <v>44</v>
      </c>
      <c r="I4" t="s">
        <v>18</v>
      </c>
    </row>
    <row r="5" spans="1:10" x14ac:dyDescent="0.25">
      <c r="A5" t="s">
        <v>9</v>
      </c>
      <c r="B5" s="14">
        <f>(I5*H2)/52</f>
        <v>0</v>
      </c>
      <c r="C5" s="13"/>
      <c r="D5" s="13"/>
      <c r="I5">
        <f>IF(H5=1,10,IF(H5&lt;4,10,IF(H5=4,15,IF(H5&lt;11,15,18))))</f>
        <v>10</v>
      </c>
    </row>
    <row r="6" spans="1:10" x14ac:dyDescent="0.25">
      <c r="A6" t="s">
        <v>10</v>
      </c>
      <c r="B6" s="14">
        <f>(B3+B4)*H10</f>
        <v>0</v>
      </c>
      <c r="C6" s="13"/>
      <c r="D6" s="13"/>
      <c r="J6">
        <f>IF(I5&gt;=1,10,IF(I5&lt;=3,10,IF(I5&lt;=10,15,18)))</f>
        <v>10</v>
      </c>
    </row>
    <row r="7" spans="1:10" x14ac:dyDescent="0.25">
      <c r="A7" t="s">
        <v>11</v>
      </c>
      <c r="B7" s="14">
        <f>(B3+B4)*H12</f>
        <v>0</v>
      </c>
      <c r="C7" s="13"/>
      <c r="D7" s="13"/>
      <c r="G7" s="17" t="s">
        <v>8</v>
      </c>
      <c r="H7" t="s">
        <v>18</v>
      </c>
      <c r="I7" t="s">
        <v>21</v>
      </c>
    </row>
    <row r="8" spans="1:10" x14ac:dyDescent="0.25">
      <c r="B8" s="21"/>
      <c r="C8" s="22"/>
      <c r="D8" s="23"/>
      <c r="H8" s="15">
        <v>15</v>
      </c>
      <c r="I8" s="16">
        <v>0.3</v>
      </c>
    </row>
    <row r="9" spans="1:10" x14ac:dyDescent="0.25">
      <c r="A9" t="s">
        <v>23</v>
      </c>
      <c r="B9" s="14"/>
      <c r="C9" s="20"/>
      <c r="D9" s="13"/>
    </row>
    <row r="10" spans="1:10" x14ac:dyDescent="0.25">
      <c r="G10" s="17" t="s">
        <v>10</v>
      </c>
      <c r="H10" s="18">
        <v>7.4999999999999997E-2</v>
      </c>
    </row>
    <row r="12" spans="1:10" x14ac:dyDescent="0.25">
      <c r="G12" s="17" t="s">
        <v>11</v>
      </c>
      <c r="H12" s="18">
        <v>7.7499999999999999E-2</v>
      </c>
    </row>
    <row r="13" spans="1:10" x14ac:dyDescent="0.25">
      <c r="B13" t="s">
        <v>25</v>
      </c>
      <c r="C13" s="13"/>
    </row>
    <row r="14" spans="1:10" x14ac:dyDescent="0.25">
      <c r="B14" t="s">
        <v>26</v>
      </c>
      <c r="C14" s="14">
        <f>H2*I2</f>
        <v>0</v>
      </c>
    </row>
    <row r="15" spans="1:10" x14ac:dyDescent="0.25">
      <c r="B15" t="s">
        <v>14</v>
      </c>
      <c r="C15" s="14">
        <f>+H2</f>
        <v>0</v>
      </c>
      <c r="G15" t="s">
        <v>24</v>
      </c>
      <c r="H15" s="15" t="e">
        <f>B9/C14</f>
        <v>#DIV/0!</v>
      </c>
    </row>
    <row r="16" spans="1:10" x14ac:dyDescent="0.25">
      <c r="B16" t="s">
        <v>15</v>
      </c>
      <c r="C16" s="14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CatCuentas" imageMso="BuildingBlocksOrganizer"/>
          <button id="balComprobacion" label="Balance de Comprobación" size="large" imageMso="ConflictsAcceptMenu"/>
        </group>
        <group id="empleados" label="Empleados">
          <button id="costoEmpleado" label="Costeo" size="large" onAction="form_asientos" imageMso="AccessTableContacts"/>
          <button id="nomina" label="Nómina" size="large" imageMso="AuthorHighlightingHide"/>
        </group>
        <group id="estados" label="Estados Financieros"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Catalogo</vt:lpstr>
      <vt:lpstr>Asientos diarios</vt:lpstr>
      <vt:lpstr>Nomina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</dc:creator>
  <cp:lastModifiedBy>DELL</cp:lastModifiedBy>
  <dcterms:created xsi:type="dcterms:W3CDTF">2021-09-29T21:18:37Z</dcterms:created>
  <dcterms:modified xsi:type="dcterms:W3CDTF">2021-10-17T00:01:19Z</dcterms:modified>
</cp:coreProperties>
</file>