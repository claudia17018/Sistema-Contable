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6430cf5b28142a3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sistema\Sistema-Contable\"/>
    </mc:Choice>
  </mc:AlternateContent>
  <xr:revisionPtr revIDLastSave="0" documentId="13_ncr:1_{E01F759C-9C5C-4985-A780-DE33D5F97A9A}" xr6:coauthVersionLast="47" xr6:coauthVersionMax="47" xr10:uidLastSave="{00000000-0000-0000-0000-000000000000}"/>
  <bookViews>
    <workbookView xWindow="810" yWindow="-120" windowWidth="19800" windowHeight="11760" activeTab="2" xr2:uid="{00000000-000D-0000-FFFF-FFFF00000000}"/>
  </bookViews>
  <sheets>
    <sheet name="Inicio" sheetId="1" r:id="rId1"/>
    <sheet name="Catalogo" sheetId="2" r:id="rId2"/>
    <sheet name="Asientos diarios" sheetId="3" r:id="rId3"/>
    <sheet name="Empleados" sheetId="6" r:id="rId4"/>
    <sheet name="Prestaciones" sheetId="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4" l="1"/>
  <c r="B11" i="4"/>
  <c r="I5" i="4"/>
  <c r="D9" i="4"/>
  <c r="J6" i="4" l="1"/>
  <c r="B5" i="4" l="1"/>
  <c r="C16" i="4" l="1"/>
  <c r="C15" i="4"/>
  <c r="C14" i="4"/>
  <c r="B4" i="4"/>
  <c r="B3" i="4" l="1"/>
  <c r="B7" i="4" l="1"/>
  <c r="B6" i="4"/>
  <c r="C3" i="4"/>
  <c r="C9" i="4" s="1"/>
  <c r="B9" i="4" l="1"/>
  <c r="H15" i="4" s="1"/>
</calcChain>
</file>

<file path=xl/sharedStrings.xml><?xml version="1.0" encoding="utf-8"?>
<sst xmlns="http://schemas.openxmlformats.org/spreadsheetml/2006/main" count="264" uniqueCount="158">
  <si>
    <t>CUENTA</t>
  </si>
  <si>
    <t>NATURALEZA</t>
  </si>
  <si>
    <t>NIVEL</t>
  </si>
  <si>
    <t>CODIGO</t>
  </si>
  <si>
    <t>Prestaciones</t>
  </si>
  <si>
    <t>Vacaciones</t>
  </si>
  <si>
    <t>Aguinaldo</t>
  </si>
  <si>
    <t>ISSS</t>
  </si>
  <si>
    <t>AFP</t>
  </si>
  <si>
    <t>Salario diario</t>
  </si>
  <si>
    <t xml:space="preserve">Semanal </t>
  </si>
  <si>
    <t xml:space="preserve">Diario </t>
  </si>
  <si>
    <t>Hora</t>
  </si>
  <si>
    <t>Septimo dia</t>
  </si>
  <si>
    <t>Dias de trabajo</t>
  </si>
  <si>
    <t>Dias</t>
  </si>
  <si>
    <t>Datos empleado</t>
  </si>
  <si>
    <t>Horas</t>
  </si>
  <si>
    <t>Recargo</t>
  </si>
  <si>
    <t>001</t>
  </si>
  <si>
    <t>Factor de recargo</t>
  </si>
  <si>
    <t xml:space="preserve">Nominal </t>
  </si>
  <si>
    <t>Semana</t>
  </si>
  <si>
    <t>ID</t>
  </si>
  <si>
    <t>002</t>
  </si>
  <si>
    <t>003</t>
  </si>
  <si>
    <t>004</t>
  </si>
  <si>
    <t>005</t>
  </si>
  <si>
    <t>Tiempo Empresa</t>
  </si>
  <si>
    <t>Acreedora</t>
  </si>
  <si>
    <t>Deudora</t>
  </si>
  <si>
    <t>PASIVOS</t>
  </si>
  <si>
    <t>ACTIVOS</t>
  </si>
  <si>
    <t>ACTIVO CORRIENTE</t>
  </si>
  <si>
    <t>EFECTIVO Y EQUIVALENTES AL EFECTIVO</t>
  </si>
  <si>
    <t>CUENTAS POR COBRAR</t>
  </si>
  <si>
    <t>ACCIONISTAS</t>
  </si>
  <si>
    <t>INVENTARIOS</t>
  </si>
  <si>
    <t>GASTOS PAGADOS POR ANTICIPADO</t>
  </si>
  <si>
    <t>ACTIVO NO CORRIENTE</t>
  </si>
  <si>
    <t>CUENTAS POR COBRAR A LARGO PLAZO</t>
  </si>
  <si>
    <t>ACTIVOS INTAGIBLES</t>
  </si>
  <si>
    <t>PASIVO CORRIENTE</t>
  </si>
  <si>
    <t>SOBREGIROS Y PRESTAMOS BANCARIOS</t>
  </si>
  <si>
    <t>CUENTAS POR PAGAR</t>
  </si>
  <si>
    <t>IVA DÉBITO FISCAL</t>
  </si>
  <si>
    <t>PRESTAMOS BANCARIOS A LARGO PLAZO</t>
  </si>
  <si>
    <t>CAPITAL</t>
  </si>
  <si>
    <t>CUENTAS DE RESULTADO DEUDORAS</t>
  </si>
  <si>
    <t>CONCEPTO</t>
  </si>
  <si>
    <t>FECHA</t>
  </si>
  <si>
    <t>HABER</t>
  </si>
  <si>
    <t>Partida No.</t>
  </si>
  <si>
    <t>NOMBRE DE LA CUENTA</t>
  </si>
  <si>
    <t>DEBE</t>
  </si>
  <si>
    <t>CRÉDITO FISCAL</t>
  </si>
  <si>
    <t>Costo Nominal</t>
  </si>
  <si>
    <t>Costo Real</t>
  </si>
  <si>
    <t>NOMBRE</t>
  </si>
  <si>
    <t>CARGO QUE DESEMPEÑA</t>
  </si>
  <si>
    <t>COSTO REAL</t>
  </si>
  <si>
    <t>Indira Marisol Sandoval Rodiguez</t>
  </si>
  <si>
    <t>Diana Beatriz Ponce Orellana</t>
  </si>
  <si>
    <t>Samael Enrique Rosales Ortiz</t>
  </si>
  <si>
    <t>Analista de requirimientos</t>
  </si>
  <si>
    <t>Jonathan Alexander Paredes Molina</t>
  </si>
  <si>
    <t>Gabriela Lisbeth Alfaro Martinez</t>
  </si>
  <si>
    <t>Diseñador UX</t>
  </si>
  <si>
    <t>Desarrollador Frontend</t>
  </si>
  <si>
    <t>Desarrollador Backend</t>
  </si>
  <si>
    <t>Desarrollador Full- Stack</t>
  </si>
  <si>
    <t>006</t>
  </si>
  <si>
    <t>Grupo</t>
  </si>
  <si>
    <t>Nombre</t>
  </si>
  <si>
    <t>PATRIMONIO NETO</t>
  </si>
  <si>
    <t>CUENTAS DE RESULTADOS DEUDORAS</t>
  </si>
  <si>
    <t>CUENTAS DE RESULTADOS ACREEDORAS</t>
  </si>
  <si>
    <t>CUENTA LIQUIDADORA DE RESULTADOS</t>
  </si>
  <si>
    <t>GRUPO</t>
  </si>
  <si>
    <t>CAJA</t>
  </si>
  <si>
    <t>EFECTIVO EN BANCOS</t>
  </si>
  <si>
    <t>IVA CREDITOS FISCALES</t>
  </si>
  <si>
    <t>INVENTARIOS DE HERRAMIENTAS</t>
  </si>
  <si>
    <t>ESTIMACIÓN POR OBSOLESCENCIA DE INVENTARIOS</t>
  </si>
  <si>
    <t>PRIMAS DE SEGURO AUN NO VENCIDAS</t>
  </si>
  <si>
    <t>ALQUILERES PAGADOS POR ANTICIPADO</t>
  </si>
  <si>
    <t>PAPELERÍA Y ÚTILES EN EXISTENCIA</t>
  </si>
  <si>
    <t>OTROS GASTOS PAGADOS POR ANTICIPADO</t>
  </si>
  <si>
    <t>PROPIEDADES, PLANTA Y EQUIPO</t>
  </si>
  <si>
    <t>EDIFICIOS</t>
  </si>
  <si>
    <t>MOBILIARIO Y EQUIPO</t>
  </si>
  <si>
    <t>VEHICULO</t>
  </si>
  <si>
    <t>DEPRECIACIÓN ACUMULADA</t>
  </si>
  <si>
    <t>PROPIEDADES, PLANTA Y EQUIPO EN ARRENDAMIENTOS FINANCIEROS</t>
  </si>
  <si>
    <t>EDIFICIOS EN ARRENDAMIENTOS FINANCIEROS</t>
  </si>
  <si>
    <t>MOBILIARIO Y EQUIPO EN ARRENDAMIENTOS FINANCIEROS</t>
  </si>
  <si>
    <t>VEHICULO EN ARRENDAMIENTO FINANCIERO</t>
  </si>
  <si>
    <t>PATENTES Y MARCAS</t>
  </si>
  <si>
    <t>FRANQUICIAS</t>
  </si>
  <si>
    <t>LICENCIAS Y PROGRAMAS</t>
  </si>
  <si>
    <t>AMORTIZACIÓN ACUMULADA DE ACTIVOS INTANGIBLES</t>
  </si>
  <si>
    <t>PASIVO</t>
  </si>
  <si>
    <t>ACREEDORES VARIOS</t>
  </si>
  <si>
    <t>IMPUESTOS MUNICIPALES</t>
  </si>
  <si>
    <t xml:space="preserve">INTERESES POR PAGAR </t>
  </si>
  <si>
    <t>ALQUILERES POR PAGAR</t>
  </si>
  <si>
    <t>SERVICIOS DE TELEFONIA POR PAGAR</t>
  </si>
  <si>
    <t>ANTICIPOS DE CLIENTES</t>
  </si>
  <si>
    <t>RETENCIONES</t>
  </si>
  <si>
    <t>COTIZACIONES AL SEGURO SOCIAL SALUD</t>
  </si>
  <si>
    <t>COTIZACIONES A FONDO DE PENSIONES</t>
  </si>
  <si>
    <t>OTRAS RETENCIONES</t>
  </si>
  <si>
    <t>BENEFICIOS A EMPLEADOS POR PAGAR</t>
  </si>
  <si>
    <t>SUELDOS POR PAGAR</t>
  </si>
  <si>
    <t>VACACIONES POR PAGAR</t>
  </si>
  <si>
    <t>AGUINALDOS POR PAGAR</t>
  </si>
  <si>
    <t>OTROS BENEFICIOS A EMPLEADOS POR PAGAR</t>
  </si>
  <si>
    <t>PASIVO NO CORRIENTE</t>
  </si>
  <si>
    <t>PATRIMONIO</t>
  </si>
  <si>
    <t>COSTOS Y GASTOS DE OPERACIÓN</t>
  </si>
  <si>
    <t>COSTO DE VENTAS</t>
  </si>
  <si>
    <t>GASTOS DE DEPARTAMENTO DE OPERACIONES</t>
  </si>
  <si>
    <t>GASTOS EN PERSONAL</t>
  </si>
  <si>
    <t>GASTOS POR SERVICIOS</t>
  </si>
  <si>
    <t>GASTOS POR MANTENIMIENTO</t>
  </si>
  <si>
    <t>GASTOS POR SEGUROS</t>
  </si>
  <si>
    <t>HONORARIOS PROFESIONALES</t>
  </si>
  <si>
    <t>GASTOS POR DEPRECIACIÓN</t>
  </si>
  <si>
    <t>GASTOS POR AMORTIZACIÓN</t>
  </si>
  <si>
    <t>GASTOS DE VIÁTICOS, VIAJES Y DE REPRESENTACIÓN</t>
  </si>
  <si>
    <t>OTROS COSTOS Y GASTOS</t>
  </si>
  <si>
    <t>GASTOS FINANCIEROS</t>
  </si>
  <si>
    <t>GASTOS NO DEDUCIBLES</t>
  </si>
  <si>
    <t>GASTOS DE EJERCICIOS ANTERIORES</t>
  </si>
  <si>
    <t>OTROS GASTOS</t>
  </si>
  <si>
    <t>INGRESOS POR VENTAS Y SERVICIOS</t>
  </si>
  <si>
    <t>INGRESOS OPERACIONALES</t>
  </si>
  <si>
    <t>VENTAS</t>
  </si>
  <si>
    <t>REBAJAS SOBRE VENTAS</t>
  </si>
  <si>
    <t>DEVOLUCIONES SOBRE VENTAS</t>
  </si>
  <si>
    <t>OTROS INGRESOS</t>
  </si>
  <si>
    <t>CUENTA DE CIERRE</t>
  </si>
  <si>
    <t>UTILIDADES O PÉRDIDAS</t>
  </si>
  <si>
    <t>IVA CRÉDITO FISCALES</t>
  </si>
  <si>
    <t>DÉBITO FISCAL</t>
  </si>
  <si>
    <t>Valores inicales</t>
  </si>
  <si>
    <t>Valores iniciales</t>
  </si>
  <si>
    <t>Capital a inicio periodo</t>
  </si>
  <si>
    <t>Compra de vehiculo</t>
  </si>
  <si>
    <t>Pago al contado del vehiculo</t>
  </si>
  <si>
    <t>Salida de mecaderia</t>
  </si>
  <si>
    <t>Costo de lo vendido</t>
  </si>
  <si>
    <t xml:space="preserve">Cuenta por cobrar </t>
  </si>
  <si>
    <t>Rebaja sobre compra</t>
  </si>
  <si>
    <t>Se pago la deuda aprovechando el desceunto</t>
  </si>
  <si>
    <t>Se cancelo la deuda</t>
  </si>
  <si>
    <t>iva debito FISCAL</t>
  </si>
  <si>
    <t>Ingreso por ventas al credito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</si>
</sst>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Roboto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808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79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center"/>
    </xf>
    <xf numFmtId="0" fontId="0" fillId="5" borderId="0" xfId="0" applyFill="1" applyBorder="1"/>
    <xf numFmtId="0" fontId="0" fillId="2" borderId="3" xfId="0" applyFill="1" applyBorder="1"/>
    <xf numFmtId="0" fontId="0" fillId="2" borderId="1" xfId="0" applyFill="1" applyBorder="1"/>
    <xf numFmtId="0" fontId="0" fillId="0" borderId="2" xfId="0" applyFill="1" applyBorder="1"/>
    <xf numFmtId="0" fontId="2" fillId="2" borderId="0" xfId="0" applyFont="1" applyFill="1" applyAlignment="1">
      <alignment vertical="center"/>
    </xf>
    <xf numFmtId="0" fontId="2" fillId="2" borderId="0" xfId="0" applyFont="1" applyFill="1" applyBorder="1" applyAlignment="1">
      <alignment vertical="center"/>
    </xf>
    <xf numFmtId="44" fontId="0" fillId="0" borderId="0" xfId="1" applyFont="1"/>
    <xf numFmtId="44" fontId="0" fillId="0" borderId="0" xfId="0" applyNumberFormat="1"/>
    <xf numFmtId="2" fontId="0" fillId="0" borderId="0" xfId="0" applyNumberFormat="1"/>
    <xf numFmtId="9" fontId="0" fillId="0" borderId="0" xfId="0" applyNumberFormat="1"/>
    <xf numFmtId="0" fontId="0" fillId="6" borderId="0" xfId="0" applyFill="1"/>
    <xf numFmtId="10" fontId="0" fillId="0" borderId="0" xfId="0" applyNumberFormat="1"/>
    <xf numFmtId="49" fontId="0" fillId="0" borderId="0" xfId="0" applyNumberFormat="1"/>
    <xf numFmtId="44" fontId="0" fillId="0" borderId="0" xfId="1" applyNumberFormat="1" applyFont="1"/>
    <xf numFmtId="44" fontId="4" fillId="0" borderId="0" xfId="0" applyNumberFormat="1" applyFont="1"/>
    <xf numFmtId="44" fontId="4" fillId="0" borderId="0" xfId="1" applyNumberFormat="1" applyFont="1"/>
    <xf numFmtId="44" fontId="4" fillId="0" borderId="0" xfId="1" applyFont="1"/>
    <xf numFmtId="0" fontId="4" fillId="0" borderId="0" xfId="0" applyFont="1"/>
    <xf numFmtId="0" fontId="0" fillId="0" borderId="0" xfId="0" applyFont="1"/>
    <xf numFmtId="0" fontId="0" fillId="7" borderId="0" xfId="0" applyFill="1"/>
    <xf numFmtId="0" fontId="0" fillId="7" borderId="0" xfId="0" applyNumberFormat="1" applyFill="1"/>
    <xf numFmtId="0" fontId="5" fillId="3" borderId="0" xfId="0" applyFont="1" applyFill="1"/>
    <xf numFmtId="0" fontId="0" fillId="7" borderId="4" xfId="0" applyNumberFormat="1" applyFill="1" applyBorder="1"/>
    <xf numFmtId="0" fontId="0" fillId="7" borderId="5" xfId="0" applyNumberFormat="1" applyFill="1" applyBorder="1"/>
    <xf numFmtId="0" fontId="0" fillId="7" borderId="4" xfId="0" applyFill="1" applyBorder="1"/>
    <xf numFmtId="0" fontId="0" fillId="0" borderId="4" xfId="0" applyBorder="1"/>
    <xf numFmtId="0" fontId="0" fillId="7" borderId="7" xfId="0" applyFill="1" applyBorder="1"/>
    <xf numFmtId="0" fontId="0" fillId="0" borderId="7" xfId="0" applyBorder="1"/>
    <xf numFmtId="0" fontId="0" fillId="0" borderId="8" xfId="0" applyBorder="1"/>
    <xf numFmtId="14" fontId="0" fillId="7" borderId="7" xfId="0" applyNumberFormat="1" applyFill="1" applyBorder="1"/>
    <xf numFmtId="0" fontId="0" fillId="7" borderId="9" xfId="0" applyFill="1" applyBorder="1"/>
    <xf numFmtId="0" fontId="0" fillId="5" borderId="6" xfId="0" applyFill="1" applyBorder="1"/>
    <xf numFmtId="0" fontId="0" fillId="5" borderId="10" xfId="0" applyFill="1" applyBorder="1"/>
    <xf numFmtId="0" fontId="0" fillId="0" borderId="0" xfId="0" applyBorder="1"/>
    <xf numFmtId="0" fontId="0" fillId="0" borderId="11" xfId="0" applyBorder="1"/>
    <xf numFmtId="0" fontId="6" fillId="0" borderId="0" xfId="0" applyFont="1"/>
    <xf numFmtId="44" fontId="6" fillId="0" borderId="0" xfId="0" applyNumberFormat="1" applyFont="1"/>
    <xf numFmtId="0" fontId="8" fillId="5" borderId="0" xfId="0" applyFont="1" applyFill="1"/>
    <xf numFmtId="0" fontId="0" fillId="0" borderId="0" xfId="0" applyAlignment="1">
      <alignment horizontal="center"/>
    </xf>
    <xf numFmtId="0" fontId="1" fillId="3" borderId="0" xfId="0" applyFont="1" applyFill="1" applyAlignment="1"/>
    <xf numFmtId="0" fontId="9" fillId="3" borderId="0" xfId="0" applyFont="1" applyFill="1" applyAlignment="1"/>
    <xf numFmtId="0" fontId="0" fillId="5" borderId="0" xfId="0" applyFill="1" applyAlignment="1">
      <alignment horizontal="center"/>
    </xf>
    <xf numFmtId="0" fontId="0" fillId="5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4" fillId="0" borderId="0" xfId="0" applyNumberFormat="1" applyFont="1" applyAlignment="1">
      <alignment horizontal="left" vertical="center"/>
    </xf>
    <xf numFmtId="0" fontId="0" fillId="0" borderId="0" xfId="0" applyFill="1"/>
    <xf numFmtId="0" fontId="0" fillId="0" borderId="0" xfId="0" applyNumberFormat="1" applyFill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4" fillId="0" borderId="0" xfId="0" applyNumberFormat="1" applyFont="1" applyAlignment="1">
      <alignment vertical="center"/>
    </xf>
    <xf numFmtId="0" fontId="0" fillId="0" borderId="0" xfId="0" applyNumberFormat="1" applyAlignment="1">
      <alignment vertical="center"/>
    </xf>
    <xf numFmtId="0" fontId="0" fillId="7" borderId="5" xfId="0" applyFill="1" applyBorder="1"/>
    <xf numFmtId="0" fontId="0" fillId="7" borderId="13" xfId="0" applyNumberFormat="1" applyFill="1" applyBorder="1"/>
    <xf numFmtId="0" fontId="0" fillId="7" borderId="15" xfId="0" applyFill="1" applyBorder="1"/>
    <xf numFmtId="0" fontId="0" fillId="7" borderId="13" xfId="0" applyFill="1" applyBorder="1"/>
    <xf numFmtId="0" fontId="9" fillId="7" borderId="9" xfId="0" applyNumberFormat="1" applyFont="1" applyFill="1" applyBorder="1"/>
    <xf numFmtId="0" fontId="9" fillId="7" borderId="7" xfId="0" applyNumberFormat="1" applyFont="1" applyFill="1" applyBorder="1"/>
    <xf numFmtId="0" fontId="9" fillId="7" borderId="12" xfId="0" applyNumberFormat="1" applyFont="1" applyFill="1" applyBorder="1"/>
    <xf numFmtId="0" fontId="9" fillId="7" borderId="0" xfId="0" applyNumberFormat="1" applyFont="1" applyFill="1"/>
    <xf numFmtId="14" fontId="9" fillId="7" borderId="12" xfId="0" applyNumberFormat="1" applyFont="1" applyFill="1" applyBorder="1"/>
    <xf numFmtId="14" fontId="9" fillId="7" borderId="14" xfId="0" applyNumberFormat="1" applyFont="1" applyFill="1" applyBorder="1"/>
    <xf numFmtId="44" fontId="0" fillId="7" borderId="0" xfId="1" applyFont="1" applyFill="1"/>
    <xf numFmtId="44" fontId="0" fillId="7" borderId="7" xfId="1" applyFont="1" applyFill="1" applyBorder="1"/>
    <xf numFmtId="44" fontId="0" fillId="7" borderId="12" xfId="1" applyFont="1" applyFill="1" applyBorder="1"/>
    <xf numFmtId="44" fontId="0" fillId="7" borderId="9" xfId="1" applyFont="1" applyFill="1" applyBorder="1"/>
    <xf numFmtId="44" fontId="0" fillId="7" borderId="14" xfId="1" applyFont="1" applyFill="1" applyBorder="1"/>
    <xf numFmtId="44" fontId="0" fillId="7" borderId="15" xfId="1" applyFont="1" applyFill="1" applyBorder="1"/>
    <xf numFmtId="44" fontId="0" fillId="7" borderId="4" xfId="1" applyFont="1" applyFill="1" applyBorder="1"/>
    <xf numFmtId="0" fontId="0" fillId="7" borderId="7" xfId="0" applyFill="1" applyBorder="1" applyAlignment="1">
      <alignment horizontal="left"/>
    </xf>
    <xf numFmtId="0" fontId="0" fillId="7" borderId="9" xfId="0" applyFill="1" applyBorder="1" applyAlignment="1">
      <alignment horizontal="left"/>
    </xf>
    <xf numFmtId="0" fontId="0" fillId="7" borderId="15" xfId="0" applyFill="1" applyBorder="1" applyAlignment="1">
      <alignment horizontal="left"/>
    </xf>
    <xf numFmtId="14" fontId="9" fillId="7" borderId="0" xfId="0" applyNumberFormat="1" applyFont="1" applyFill="1"/>
  </cellXfs>
  <cellStyles count="2">
    <cellStyle name="Moneda" xfId="1" builtinId="4"/>
    <cellStyle name="Normal" xfId="0" builtinId="0"/>
  </cellStyles>
  <dxfs count="5">
    <dxf>
      <numFmt numFmtId="0" formatCode="General"/>
      <alignment vertical="center" textRotation="0" wrapText="0" indent="0" justifyLastLine="0" shrinkToFit="0" readingOrder="0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0" formatCode="@"/>
    </dxf>
    <dxf>
      <fill>
        <patternFill patternType="solid">
          <fgColor indexed="64"/>
          <bgColor rgb="FF009999"/>
        </patternFill>
      </fill>
    </dxf>
  </dxfs>
  <tableStyles count="0" defaultTableStyle="TableStyleMedium2" defaultPivotStyle="PivotStyleLight16"/>
  <colors>
    <mruColors>
      <color rgb="FF009999"/>
      <color rgb="FF33CCFF"/>
      <color rgb="FF008080"/>
      <color rgb="FF00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600075</xdr:colOff>
      <xdr:row>7</xdr:row>
      <xdr:rowOff>180975</xdr:rowOff>
    </xdr:from>
    <xdr:to>
      <xdr:col>11</xdr:col>
      <xdr:colOff>304800</xdr:colOff>
      <xdr:row>19</xdr:row>
      <xdr:rowOff>123825</xdr:rowOff>
    </xdr:to>
    <xdr:pic>
      <xdr:nvPicPr>
        <xdr:cNvPr id="2" name="Imagen 1" descr="Ventajas y desventajas de tener un software contabl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10075" y="1514475"/>
          <a:ext cx="4276725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C3EC06-FAA1-42BA-AE40-7AF7CFEF45AF}" name="Catalogo" displayName="Catalogo" ref="A1:E84" totalsRowShown="0" headerRowDxfId="4">
  <autoFilter ref="A1:E84" xr:uid="{48C3EC06-FAA1-42BA-AE40-7AF7CFEF45AF}"/>
  <tableColumns count="5">
    <tableColumn id="1" xr3:uid="{5D33DE5B-9938-4217-BFC2-F88FCB787091}" name="CODIGO" dataDxfId="0"/>
    <tableColumn id="2" xr3:uid="{27761525-73EF-4AA6-BD8D-D0EF2C80C8A7}" name="CUENTA"/>
    <tableColumn id="5" xr3:uid="{28F5737D-4F4C-4730-9DD0-3139A1B44230}" name="NIVEL"/>
    <tableColumn id="6" xr3:uid="{A2EFF66B-FC22-4395-8413-34FE69E3A37C}" name="NATURALEZA"/>
    <tableColumn id="3" xr3:uid="{E24A31FC-77CD-45D5-9BF4-0408F28DCDDE}" name="GRUPO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2ECC44-DED9-441D-92C5-AF480884FBBD}" name="Empleados" displayName="Empleados" ref="A5:D11" totalsRowShown="0">
  <autoFilter ref="A5:D11" xr:uid="{F62ECC44-DED9-441D-92C5-AF480884FBBD}"/>
  <tableColumns count="4">
    <tableColumn id="1" xr3:uid="{48AF4C3C-9DC7-49EF-AC14-7C9FC13DE84E}" name="ID" dataDxfId="3"/>
    <tableColumn id="2" xr3:uid="{9AD2E5D3-629F-4D3B-B16F-0C74B50922E7}" name="NOMBRE"/>
    <tableColumn id="3" xr3:uid="{6F1D535F-7ED8-4FAE-89AB-DEDC748D9372}" name="CARGO QUE DESEMPEÑA"/>
    <tableColumn id="4" xr3:uid="{33A970ED-13F5-437A-9EEE-537B41F4F833}" name="COSTO REAL" dataCellStyle="Moned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A883649-65C7-4458-B3EB-031DD1C340B3}" name="Tabla4" displayName="Tabla4" ref="A2:D11" totalsRowShown="0">
  <autoFilter ref="A2:D11" xr:uid="{8A883649-65C7-4458-B3EB-031DD1C340B3}"/>
  <tableColumns count="4">
    <tableColumn id="1" xr3:uid="{DAB79A8D-80D6-42F9-9FD6-46363F5863C7}" name="Prestaciones"/>
    <tableColumn id="2" xr3:uid="{A2ECE377-D5EA-4608-8C9A-21BD939DA5A7}" name="Semanal " dataDxfId="2">
      <calculatedColumnFormula>H2*7</calculatedColumnFormula>
    </tableColumn>
    <tableColumn id="3" xr3:uid="{DE81C861-4D7D-4399-BB9F-92601DDC6225}" name="Diario " dataDxfId="1" dataCellStyle="Moneda">
      <calculatedColumnFormula>Tabla4[[#This Row],[Semanal ]]/52</calculatedColumnFormula>
    </tableColumn>
    <tableColumn id="4" xr3:uid="{6DE301A9-4CD7-40BA-A892-F7729758BB8E}" name="Hora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4" tint="0.59999389629810485"/>
  </sheetPr>
  <dimension ref="A1:Q25"/>
  <sheetViews>
    <sheetView zoomScaleNormal="100" workbookViewId="0">
      <selection activeCell="A9" sqref="A9:D10"/>
    </sheetView>
  </sheetViews>
  <sheetFormatPr baseColWidth="10" defaultRowHeight="15" x14ac:dyDescent="0.25"/>
  <sheetData>
    <row r="1" spans="1:17" x14ac:dyDescent="0.25">
      <c r="A1" s="5" t="s">
        <v>72</v>
      </c>
      <c r="B1" s="5" t="s">
        <v>73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4"/>
    </row>
    <row r="2" spans="1:17" x14ac:dyDescent="0.25">
      <c r="A2" s="3">
        <v>1</v>
      </c>
      <c r="B2" s="3" t="s">
        <v>32</v>
      </c>
      <c r="C2" s="3"/>
      <c r="D2" s="3"/>
      <c r="E2" s="3"/>
      <c r="F2" s="3"/>
      <c r="G2" s="3"/>
      <c r="H2" s="3"/>
      <c r="I2" s="3"/>
      <c r="J2" s="3"/>
      <c r="K2" s="3"/>
      <c r="L2" s="28"/>
      <c r="M2" s="28"/>
      <c r="N2" s="28"/>
      <c r="O2" s="3"/>
      <c r="P2" s="3"/>
      <c r="Q2" s="3"/>
    </row>
    <row r="3" spans="1:17" ht="15" customHeight="1" x14ac:dyDescent="0.25">
      <c r="A3" s="3">
        <v>2</v>
      </c>
      <c r="B3" s="47" t="s">
        <v>31</v>
      </c>
      <c r="C3" s="46"/>
      <c r="D3" s="46"/>
      <c r="E3" s="46"/>
      <c r="F3" s="3"/>
      <c r="G3" s="3"/>
      <c r="H3" s="3"/>
      <c r="I3" s="3"/>
      <c r="J3" s="3"/>
      <c r="K3" s="3"/>
      <c r="L3" s="28"/>
      <c r="M3" s="28"/>
      <c r="N3" s="28"/>
      <c r="O3" s="3"/>
      <c r="P3" s="3"/>
      <c r="Q3" s="3"/>
    </row>
    <row r="4" spans="1:17" x14ac:dyDescent="0.25">
      <c r="A4" s="3">
        <v>3</v>
      </c>
      <c r="B4" s="47" t="s">
        <v>74</v>
      </c>
      <c r="C4" s="46"/>
      <c r="D4" s="46"/>
      <c r="E4" s="46"/>
      <c r="F4" s="3"/>
      <c r="G4" s="3"/>
      <c r="H4" s="3"/>
      <c r="I4" s="3"/>
      <c r="J4" s="3"/>
      <c r="K4" s="3"/>
      <c r="L4" s="28"/>
      <c r="M4" s="28"/>
      <c r="N4" s="28"/>
      <c r="O4" s="3"/>
      <c r="P4" s="3"/>
      <c r="Q4" s="3"/>
    </row>
    <row r="5" spans="1:17" x14ac:dyDescent="0.25">
      <c r="A5" s="5">
        <v>4</v>
      </c>
      <c r="B5" s="6" t="s">
        <v>75</v>
      </c>
      <c r="C5" s="7"/>
      <c r="D5" s="7"/>
      <c r="E5" s="7"/>
      <c r="F5" s="7"/>
      <c r="G5" s="7"/>
      <c r="H5" s="48"/>
      <c r="I5" s="49"/>
      <c r="J5" s="7"/>
      <c r="K5" s="7"/>
      <c r="L5" s="7"/>
      <c r="M5" s="7"/>
      <c r="N5" s="7"/>
      <c r="O5" s="5"/>
      <c r="P5" s="5"/>
      <c r="Q5" s="4"/>
    </row>
    <row r="6" spans="1:17" x14ac:dyDescent="0.25">
      <c r="A6" s="1">
        <v>5</v>
      </c>
      <c r="B6" s="1" t="s">
        <v>76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ht="15" customHeight="1" x14ac:dyDescent="0.25">
      <c r="A7" s="11">
        <v>6</v>
      </c>
      <c r="B7" s="11" t="s">
        <v>77</v>
      </c>
      <c r="C7" s="11"/>
      <c r="D7" s="11"/>
      <c r="E7" s="11"/>
      <c r="F7" s="1"/>
      <c r="G7" s="1"/>
      <c r="H7" s="50"/>
      <c r="I7" s="50"/>
      <c r="J7" s="2"/>
      <c r="K7" s="2"/>
      <c r="L7" s="2"/>
      <c r="M7" s="2"/>
      <c r="N7" s="2"/>
      <c r="O7" s="2"/>
      <c r="P7" s="1"/>
      <c r="Q7" s="1"/>
    </row>
    <row r="8" spans="1:17" ht="15" customHeight="1" x14ac:dyDescent="0.25">
      <c r="A8" s="11"/>
      <c r="B8" s="11"/>
      <c r="C8" s="11"/>
      <c r="D8" s="11"/>
      <c r="E8" s="12"/>
      <c r="F8" s="2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x14ac:dyDescent="0.25">
      <c r="A9" s="50"/>
      <c r="B9" s="50"/>
      <c r="C9" s="50"/>
      <c r="D9" s="50"/>
      <c r="E9" s="2"/>
      <c r="F9" s="2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x14ac:dyDescent="0.25">
      <c r="A10" s="50"/>
      <c r="B10" s="50"/>
      <c r="C10" s="50"/>
      <c r="D10" s="50"/>
      <c r="E10" s="2"/>
      <c r="F10" s="2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x14ac:dyDescent="0.25">
      <c r="A11" s="50"/>
      <c r="B11" s="50"/>
      <c r="C11" s="50"/>
      <c r="D11" s="50"/>
      <c r="E11" s="2"/>
      <c r="F11" s="2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x14ac:dyDescent="0.25">
      <c r="A12" s="50"/>
      <c r="B12" s="50"/>
      <c r="C12" s="50"/>
      <c r="D12" s="50"/>
      <c r="E12" s="2"/>
      <c r="F12" s="1"/>
      <c r="G12" s="1"/>
      <c r="H12" s="1"/>
      <c r="I12" s="2"/>
      <c r="K12" s="1"/>
      <c r="L12" s="1"/>
      <c r="M12" s="1"/>
      <c r="N12" s="1"/>
      <c r="O12" s="1"/>
      <c r="P12" s="1"/>
      <c r="Q12" s="1"/>
    </row>
    <row r="13" spans="1:17" x14ac:dyDescent="0.25">
      <c r="A13" s="50"/>
      <c r="B13" s="50"/>
      <c r="C13" s="50"/>
      <c r="D13" s="50"/>
      <c r="E13" s="2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x14ac:dyDescent="0.25">
      <c r="A14" s="50"/>
      <c r="B14" s="50"/>
      <c r="C14" s="50"/>
      <c r="D14" s="50"/>
      <c r="E14" s="2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x14ac:dyDescent="0.25">
      <c r="A15" s="50"/>
      <c r="B15" s="50"/>
      <c r="C15" s="50"/>
      <c r="D15" s="50"/>
      <c r="E15" s="2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x14ac:dyDescent="0.25">
      <c r="A16" s="50"/>
      <c r="B16" s="50"/>
      <c r="C16" s="50"/>
      <c r="D16" s="50"/>
      <c r="E16" s="9"/>
      <c r="F16" s="1"/>
      <c r="G16" s="9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25">
      <c r="A17" s="50"/>
      <c r="B17" s="50"/>
      <c r="C17" s="50"/>
      <c r="D17" s="50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1:17" x14ac:dyDescent="0.25">
      <c r="A18" s="50"/>
      <c r="B18" s="50"/>
      <c r="C18" s="50"/>
      <c r="D18" s="50"/>
      <c r="E18" s="9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x14ac:dyDescent="0.25">
      <c r="A19" s="50"/>
      <c r="B19" s="50"/>
      <c r="C19" s="50"/>
      <c r="D19" s="50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x14ac:dyDescent="0.25">
      <c r="A20" s="50"/>
      <c r="B20" s="50"/>
      <c r="C20" s="50"/>
      <c r="D20" s="50"/>
      <c r="E20" s="2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50"/>
      <c r="B21" s="50"/>
      <c r="C21" s="50"/>
      <c r="D21" s="50"/>
      <c r="E21" s="10"/>
      <c r="F21" s="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50"/>
      <c r="B22" s="50"/>
      <c r="C22" s="50"/>
      <c r="D22" s="50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</sheetData>
  <mergeCells count="9">
    <mergeCell ref="H5:I5"/>
    <mergeCell ref="H7:I7"/>
    <mergeCell ref="A19:D20"/>
    <mergeCell ref="A21:D22"/>
    <mergeCell ref="A9:D10"/>
    <mergeCell ref="A11:D12"/>
    <mergeCell ref="A13:D14"/>
    <mergeCell ref="A15:D16"/>
    <mergeCell ref="A17:D18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4" tint="0.39997558519241921"/>
  </sheetPr>
  <dimension ref="A1:O84"/>
  <sheetViews>
    <sheetView topLeftCell="A61" workbookViewId="0">
      <selection activeCell="D65" sqref="D65"/>
    </sheetView>
  </sheetViews>
  <sheetFormatPr baseColWidth="10" defaultRowHeight="15" x14ac:dyDescent="0.25"/>
  <cols>
    <col min="1" max="1" width="8.42578125" customWidth="1"/>
    <col min="2" max="2" width="51.85546875" customWidth="1"/>
    <col min="3" max="3" width="7.85546875" customWidth="1"/>
    <col min="4" max="4" width="17.5703125" customWidth="1"/>
  </cols>
  <sheetData>
    <row r="1" spans="1:15" x14ac:dyDescent="0.25">
      <c r="A1" s="44" t="s">
        <v>3</v>
      </c>
      <c r="B1" s="44" t="s">
        <v>0</v>
      </c>
      <c r="C1" s="44" t="s">
        <v>2</v>
      </c>
      <c r="D1" s="44" t="s">
        <v>1</v>
      </c>
      <c r="E1" s="5" t="s">
        <v>78</v>
      </c>
      <c r="G1" s="45"/>
    </row>
    <row r="2" spans="1:15" x14ac:dyDescent="0.25">
      <c r="A2" s="51">
        <v>1</v>
      </c>
      <c r="B2" s="24" t="s">
        <v>32</v>
      </c>
      <c r="C2" s="24">
        <v>1</v>
      </c>
      <c r="D2" t="s">
        <v>30</v>
      </c>
      <c r="E2">
        <v>1</v>
      </c>
    </row>
    <row r="3" spans="1:15" x14ac:dyDescent="0.25">
      <c r="A3" s="51">
        <v>11</v>
      </c>
      <c r="B3" s="24" t="s">
        <v>33</v>
      </c>
      <c r="C3" s="24">
        <v>2</v>
      </c>
      <c r="D3" t="s">
        <v>30</v>
      </c>
      <c r="E3">
        <v>1</v>
      </c>
      <c r="O3">
        <v>1</v>
      </c>
    </row>
    <row r="4" spans="1:15" x14ac:dyDescent="0.25">
      <c r="A4" s="53">
        <v>1101</v>
      </c>
      <c r="B4" s="52" t="s">
        <v>34</v>
      </c>
      <c r="C4" s="52">
        <v>3</v>
      </c>
      <c r="D4" s="52" t="s">
        <v>30</v>
      </c>
      <c r="E4">
        <v>1</v>
      </c>
      <c r="O4">
        <v>2</v>
      </c>
    </row>
    <row r="5" spans="1:15" x14ac:dyDescent="0.25">
      <c r="A5" s="54">
        <v>110101</v>
      </c>
      <c r="B5" s="25" t="s">
        <v>79</v>
      </c>
      <c r="C5" s="24">
        <v>4</v>
      </c>
      <c r="D5" t="s">
        <v>30</v>
      </c>
      <c r="E5">
        <v>1</v>
      </c>
      <c r="O5">
        <v>3</v>
      </c>
    </row>
    <row r="6" spans="1:15" x14ac:dyDescent="0.25">
      <c r="A6" s="55">
        <v>110102</v>
      </c>
      <c r="B6" t="s">
        <v>80</v>
      </c>
      <c r="C6">
        <v>4</v>
      </c>
      <c r="D6" t="s">
        <v>30</v>
      </c>
      <c r="E6">
        <v>1</v>
      </c>
      <c r="O6">
        <v>4</v>
      </c>
    </row>
    <row r="7" spans="1:15" x14ac:dyDescent="0.25">
      <c r="A7" s="55">
        <v>1102</v>
      </c>
      <c r="B7" t="s">
        <v>35</v>
      </c>
      <c r="C7">
        <v>3</v>
      </c>
      <c r="D7" t="s">
        <v>30</v>
      </c>
      <c r="E7">
        <v>1</v>
      </c>
      <c r="O7">
        <v>5</v>
      </c>
    </row>
    <row r="8" spans="1:15" x14ac:dyDescent="0.25">
      <c r="A8" s="55">
        <v>1103</v>
      </c>
      <c r="B8" t="s">
        <v>36</v>
      </c>
      <c r="C8">
        <v>3</v>
      </c>
      <c r="D8" t="s">
        <v>30</v>
      </c>
      <c r="E8">
        <v>1</v>
      </c>
    </row>
    <row r="9" spans="1:15" x14ac:dyDescent="0.25">
      <c r="A9" s="55">
        <v>1104</v>
      </c>
      <c r="B9" t="s">
        <v>81</v>
      </c>
      <c r="C9">
        <v>3</v>
      </c>
      <c r="D9" t="s">
        <v>30</v>
      </c>
      <c r="E9">
        <v>1</v>
      </c>
    </row>
    <row r="10" spans="1:15" x14ac:dyDescent="0.25">
      <c r="A10" s="55">
        <v>1105</v>
      </c>
      <c r="B10" t="s">
        <v>37</v>
      </c>
      <c r="C10">
        <v>3</v>
      </c>
      <c r="D10" t="s">
        <v>30</v>
      </c>
      <c r="E10">
        <v>1</v>
      </c>
    </row>
    <row r="11" spans="1:15" x14ac:dyDescent="0.25">
      <c r="A11" s="55">
        <v>110501</v>
      </c>
      <c r="B11" t="s">
        <v>82</v>
      </c>
      <c r="C11">
        <v>4</v>
      </c>
      <c r="D11" t="s">
        <v>30</v>
      </c>
      <c r="E11">
        <v>1</v>
      </c>
    </row>
    <row r="12" spans="1:15" x14ac:dyDescent="0.25">
      <c r="A12" s="55">
        <v>110502</v>
      </c>
      <c r="B12" t="s">
        <v>83</v>
      </c>
      <c r="C12">
        <v>4</v>
      </c>
      <c r="D12" t="s">
        <v>30</v>
      </c>
      <c r="E12">
        <v>1</v>
      </c>
    </row>
    <row r="13" spans="1:15" x14ac:dyDescent="0.25">
      <c r="A13" s="55">
        <v>1106</v>
      </c>
      <c r="B13" t="s">
        <v>38</v>
      </c>
      <c r="C13">
        <v>3</v>
      </c>
      <c r="D13" t="s">
        <v>30</v>
      </c>
      <c r="E13">
        <v>1</v>
      </c>
    </row>
    <row r="14" spans="1:15" x14ac:dyDescent="0.25">
      <c r="A14" s="51">
        <v>110601</v>
      </c>
      <c r="B14" s="24" t="s">
        <v>84</v>
      </c>
      <c r="C14" s="24">
        <v>4</v>
      </c>
      <c r="D14" t="s">
        <v>30</v>
      </c>
      <c r="E14">
        <v>1</v>
      </c>
    </row>
    <row r="15" spans="1:15" x14ac:dyDescent="0.25">
      <c r="A15" s="55">
        <v>110602</v>
      </c>
      <c r="B15" t="s">
        <v>85</v>
      </c>
      <c r="C15">
        <v>4</v>
      </c>
      <c r="D15" t="s">
        <v>30</v>
      </c>
      <c r="E15">
        <v>1</v>
      </c>
    </row>
    <row r="16" spans="1:15" x14ac:dyDescent="0.25">
      <c r="A16" s="55">
        <v>110603</v>
      </c>
      <c r="B16" t="s">
        <v>86</v>
      </c>
      <c r="C16">
        <v>4</v>
      </c>
      <c r="D16" t="s">
        <v>30</v>
      </c>
      <c r="E16">
        <v>1</v>
      </c>
    </row>
    <row r="17" spans="1:5" x14ac:dyDescent="0.25">
      <c r="A17" s="55">
        <v>110604</v>
      </c>
      <c r="B17" t="s">
        <v>87</v>
      </c>
      <c r="C17">
        <v>4</v>
      </c>
      <c r="D17" t="s">
        <v>30</v>
      </c>
      <c r="E17">
        <v>1</v>
      </c>
    </row>
    <row r="18" spans="1:5" x14ac:dyDescent="0.25">
      <c r="A18" s="51">
        <v>12</v>
      </c>
      <c r="B18" s="24" t="s">
        <v>39</v>
      </c>
      <c r="C18">
        <v>2</v>
      </c>
      <c r="D18" t="s">
        <v>30</v>
      </c>
      <c r="E18">
        <v>1</v>
      </c>
    </row>
    <row r="19" spans="1:5" x14ac:dyDescent="0.25">
      <c r="A19" s="55">
        <v>1201</v>
      </c>
      <c r="B19" t="s">
        <v>88</v>
      </c>
      <c r="C19">
        <v>3</v>
      </c>
      <c r="D19" t="s">
        <v>30</v>
      </c>
      <c r="E19">
        <v>1</v>
      </c>
    </row>
    <row r="20" spans="1:5" x14ac:dyDescent="0.25">
      <c r="A20" s="54">
        <v>120101</v>
      </c>
      <c r="B20" s="25" t="s">
        <v>89</v>
      </c>
      <c r="C20" s="25">
        <v>4</v>
      </c>
      <c r="D20" s="25" t="s">
        <v>30</v>
      </c>
      <c r="E20">
        <v>1</v>
      </c>
    </row>
    <row r="21" spans="1:5" x14ac:dyDescent="0.25">
      <c r="A21" s="55">
        <v>120102</v>
      </c>
      <c r="B21" t="s">
        <v>90</v>
      </c>
      <c r="C21">
        <v>4</v>
      </c>
      <c r="D21" t="s">
        <v>30</v>
      </c>
      <c r="E21">
        <v>1</v>
      </c>
    </row>
    <row r="22" spans="1:5" x14ac:dyDescent="0.25">
      <c r="A22" s="55">
        <v>120103</v>
      </c>
      <c r="B22" t="s">
        <v>91</v>
      </c>
      <c r="C22">
        <v>4</v>
      </c>
      <c r="D22" t="s">
        <v>30</v>
      </c>
      <c r="E22">
        <v>1</v>
      </c>
    </row>
    <row r="23" spans="1:5" x14ac:dyDescent="0.25">
      <c r="A23" s="55">
        <v>120104</v>
      </c>
      <c r="B23" t="s">
        <v>92</v>
      </c>
      <c r="C23">
        <v>4</v>
      </c>
      <c r="D23" t="s">
        <v>30</v>
      </c>
      <c r="E23">
        <v>1</v>
      </c>
    </row>
    <row r="24" spans="1:5" x14ac:dyDescent="0.25">
      <c r="A24" s="51">
        <v>1202</v>
      </c>
      <c r="B24" s="24" t="s">
        <v>93</v>
      </c>
      <c r="C24" s="24">
        <v>3</v>
      </c>
      <c r="D24" t="s">
        <v>30</v>
      </c>
      <c r="E24">
        <v>1</v>
      </c>
    </row>
    <row r="25" spans="1:5" x14ac:dyDescent="0.25">
      <c r="A25" s="51">
        <v>120201</v>
      </c>
      <c r="B25" s="24" t="s">
        <v>94</v>
      </c>
      <c r="C25" s="24">
        <v>4</v>
      </c>
      <c r="D25" t="s">
        <v>30</v>
      </c>
      <c r="E25">
        <v>1</v>
      </c>
    </row>
    <row r="26" spans="1:5" x14ac:dyDescent="0.25">
      <c r="A26" s="55">
        <v>120202</v>
      </c>
      <c r="B26" t="s">
        <v>95</v>
      </c>
      <c r="C26">
        <v>4</v>
      </c>
      <c r="D26" t="s">
        <v>30</v>
      </c>
      <c r="E26">
        <v>1</v>
      </c>
    </row>
    <row r="27" spans="1:5" x14ac:dyDescent="0.25">
      <c r="A27" s="55">
        <v>120203</v>
      </c>
      <c r="B27" t="s">
        <v>96</v>
      </c>
      <c r="C27">
        <v>4</v>
      </c>
      <c r="D27" t="s">
        <v>30</v>
      </c>
      <c r="E27">
        <v>1</v>
      </c>
    </row>
    <row r="28" spans="1:5" x14ac:dyDescent="0.25">
      <c r="A28" s="55">
        <v>1203</v>
      </c>
      <c r="B28" t="s">
        <v>40</v>
      </c>
      <c r="C28">
        <v>3</v>
      </c>
      <c r="D28" t="s">
        <v>30</v>
      </c>
      <c r="E28">
        <v>1</v>
      </c>
    </row>
    <row r="29" spans="1:5" x14ac:dyDescent="0.25">
      <c r="A29" s="55">
        <v>1204</v>
      </c>
      <c r="B29" t="s">
        <v>41</v>
      </c>
      <c r="C29">
        <v>3</v>
      </c>
      <c r="D29" t="s">
        <v>30</v>
      </c>
      <c r="E29">
        <v>1</v>
      </c>
    </row>
    <row r="30" spans="1:5" x14ac:dyDescent="0.25">
      <c r="A30" s="55">
        <v>120401</v>
      </c>
      <c r="B30" t="s">
        <v>97</v>
      </c>
      <c r="C30">
        <v>4</v>
      </c>
      <c r="D30" t="s">
        <v>30</v>
      </c>
      <c r="E30">
        <v>1</v>
      </c>
    </row>
    <row r="31" spans="1:5" x14ac:dyDescent="0.25">
      <c r="A31" s="55">
        <v>120402</v>
      </c>
      <c r="B31" t="s">
        <v>98</v>
      </c>
      <c r="C31">
        <v>4</v>
      </c>
      <c r="D31" t="s">
        <v>30</v>
      </c>
      <c r="E31">
        <v>1</v>
      </c>
    </row>
    <row r="32" spans="1:5" x14ac:dyDescent="0.25">
      <c r="A32" s="55">
        <v>120403</v>
      </c>
      <c r="B32" t="s">
        <v>99</v>
      </c>
      <c r="C32">
        <v>4</v>
      </c>
      <c r="D32" t="s">
        <v>30</v>
      </c>
      <c r="E32">
        <v>1</v>
      </c>
    </row>
    <row r="33" spans="1:5" x14ac:dyDescent="0.25">
      <c r="A33" s="51">
        <v>1205</v>
      </c>
      <c r="B33" s="24" t="s">
        <v>100</v>
      </c>
      <c r="C33" s="24">
        <v>4</v>
      </c>
      <c r="D33" t="s">
        <v>30</v>
      </c>
      <c r="E33">
        <v>1</v>
      </c>
    </row>
    <row r="34" spans="1:5" x14ac:dyDescent="0.25">
      <c r="A34" s="51">
        <v>2</v>
      </c>
      <c r="B34" s="24" t="s">
        <v>101</v>
      </c>
      <c r="C34" s="24">
        <v>1</v>
      </c>
      <c r="D34" t="s">
        <v>29</v>
      </c>
      <c r="E34">
        <v>2</v>
      </c>
    </row>
    <row r="35" spans="1:5" x14ac:dyDescent="0.25">
      <c r="A35" s="56">
        <v>21</v>
      </c>
      <c r="B35" s="24" t="s">
        <v>42</v>
      </c>
      <c r="C35" s="24">
        <v>2</v>
      </c>
      <c r="D35" t="s">
        <v>29</v>
      </c>
      <c r="E35">
        <v>2</v>
      </c>
    </row>
    <row r="36" spans="1:5" x14ac:dyDescent="0.25">
      <c r="A36" s="57">
        <v>2101</v>
      </c>
      <c r="B36" t="s">
        <v>43</v>
      </c>
      <c r="C36">
        <v>3</v>
      </c>
      <c r="D36" t="s">
        <v>29</v>
      </c>
      <c r="E36">
        <v>2</v>
      </c>
    </row>
    <row r="37" spans="1:5" x14ac:dyDescent="0.25">
      <c r="A37" s="57">
        <v>2102</v>
      </c>
      <c r="B37" t="s">
        <v>44</v>
      </c>
      <c r="C37">
        <v>3</v>
      </c>
      <c r="D37" t="s">
        <v>29</v>
      </c>
      <c r="E37">
        <v>2</v>
      </c>
    </row>
    <row r="38" spans="1:5" x14ac:dyDescent="0.25">
      <c r="A38" s="57">
        <v>2103</v>
      </c>
      <c r="B38" t="s">
        <v>102</v>
      </c>
      <c r="C38">
        <v>3</v>
      </c>
      <c r="D38" t="s">
        <v>29</v>
      </c>
      <c r="E38">
        <v>2</v>
      </c>
    </row>
    <row r="39" spans="1:5" x14ac:dyDescent="0.25">
      <c r="A39" s="57">
        <v>210301</v>
      </c>
      <c r="B39" t="s">
        <v>103</v>
      </c>
      <c r="C39">
        <v>3</v>
      </c>
      <c r="D39" t="s">
        <v>29</v>
      </c>
      <c r="E39">
        <v>2</v>
      </c>
    </row>
    <row r="40" spans="1:5" x14ac:dyDescent="0.25">
      <c r="A40" s="57">
        <v>210302</v>
      </c>
      <c r="B40" t="s">
        <v>104</v>
      </c>
      <c r="C40">
        <v>4</v>
      </c>
      <c r="D40" t="s">
        <v>29</v>
      </c>
      <c r="E40">
        <v>2</v>
      </c>
    </row>
    <row r="41" spans="1:5" x14ac:dyDescent="0.25">
      <c r="A41" s="57">
        <v>210303</v>
      </c>
      <c r="B41" t="s">
        <v>105</v>
      </c>
      <c r="C41">
        <v>4</v>
      </c>
      <c r="D41" t="s">
        <v>29</v>
      </c>
      <c r="E41">
        <v>2</v>
      </c>
    </row>
    <row r="42" spans="1:5" x14ac:dyDescent="0.25">
      <c r="A42" s="57">
        <v>210304</v>
      </c>
      <c r="B42" t="s">
        <v>106</v>
      </c>
      <c r="C42">
        <v>4</v>
      </c>
      <c r="D42" t="s">
        <v>29</v>
      </c>
      <c r="E42">
        <v>2</v>
      </c>
    </row>
    <row r="43" spans="1:5" x14ac:dyDescent="0.25">
      <c r="A43" s="57">
        <v>210305</v>
      </c>
      <c r="B43" t="s">
        <v>107</v>
      </c>
      <c r="C43">
        <v>4</v>
      </c>
      <c r="D43" t="s">
        <v>29</v>
      </c>
      <c r="E43">
        <v>2</v>
      </c>
    </row>
    <row r="44" spans="1:5" x14ac:dyDescent="0.25">
      <c r="A44" s="57">
        <v>2104</v>
      </c>
      <c r="B44" t="s">
        <v>108</v>
      </c>
      <c r="C44">
        <v>3</v>
      </c>
      <c r="D44" t="s">
        <v>29</v>
      </c>
      <c r="E44">
        <v>2</v>
      </c>
    </row>
    <row r="45" spans="1:5" x14ac:dyDescent="0.25">
      <c r="A45" s="57">
        <v>210401</v>
      </c>
      <c r="B45" t="s">
        <v>109</v>
      </c>
      <c r="C45">
        <v>3</v>
      </c>
      <c r="D45" t="s">
        <v>29</v>
      </c>
      <c r="E45">
        <v>2</v>
      </c>
    </row>
    <row r="46" spans="1:5" x14ac:dyDescent="0.25">
      <c r="A46" s="57">
        <v>210402</v>
      </c>
      <c r="B46" t="s">
        <v>110</v>
      </c>
      <c r="C46">
        <v>4</v>
      </c>
      <c r="D46" t="s">
        <v>29</v>
      </c>
      <c r="E46">
        <v>2</v>
      </c>
    </row>
    <row r="47" spans="1:5" x14ac:dyDescent="0.25">
      <c r="A47" s="57">
        <v>210403</v>
      </c>
      <c r="B47" t="s">
        <v>111</v>
      </c>
      <c r="C47">
        <v>4</v>
      </c>
      <c r="D47" t="s">
        <v>29</v>
      </c>
      <c r="E47">
        <v>2</v>
      </c>
    </row>
    <row r="48" spans="1:5" x14ac:dyDescent="0.25">
      <c r="A48" s="57">
        <v>2105</v>
      </c>
      <c r="B48" t="s">
        <v>112</v>
      </c>
      <c r="C48">
        <v>3</v>
      </c>
      <c r="D48" t="s">
        <v>29</v>
      </c>
      <c r="E48">
        <v>2</v>
      </c>
    </row>
    <row r="49" spans="1:5" x14ac:dyDescent="0.25">
      <c r="A49" s="57">
        <v>210501</v>
      </c>
      <c r="B49" t="s">
        <v>113</v>
      </c>
      <c r="C49">
        <v>4</v>
      </c>
      <c r="D49" t="s">
        <v>29</v>
      </c>
      <c r="E49">
        <v>2</v>
      </c>
    </row>
    <row r="50" spans="1:5" x14ac:dyDescent="0.25">
      <c r="A50" s="57">
        <v>210502</v>
      </c>
      <c r="B50" t="s">
        <v>114</v>
      </c>
      <c r="C50">
        <v>4</v>
      </c>
      <c r="D50" t="s">
        <v>29</v>
      </c>
      <c r="E50">
        <v>2</v>
      </c>
    </row>
    <row r="51" spans="1:5" x14ac:dyDescent="0.25">
      <c r="A51" s="57">
        <v>210503</v>
      </c>
      <c r="B51" t="s">
        <v>115</v>
      </c>
      <c r="C51">
        <v>4</v>
      </c>
      <c r="D51" t="s">
        <v>29</v>
      </c>
      <c r="E51">
        <v>2</v>
      </c>
    </row>
    <row r="52" spans="1:5" x14ac:dyDescent="0.25">
      <c r="A52" s="57">
        <v>210504</v>
      </c>
      <c r="B52" t="s">
        <v>116</v>
      </c>
      <c r="C52">
        <v>4</v>
      </c>
      <c r="D52" t="s">
        <v>29</v>
      </c>
      <c r="E52">
        <v>2</v>
      </c>
    </row>
    <row r="53" spans="1:5" x14ac:dyDescent="0.25">
      <c r="A53" s="57">
        <v>2106</v>
      </c>
      <c r="B53" t="s">
        <v>45</v>
      </c>
      <c r="C53">
        <v>3</v>
      </c>
      <c r="D53" t="s">
        <v>29</v>
      </c>
      <c r="E53">
        <v>2</v>
      </c>
    </row>
    <row r="54" spans="1:5" x14ac:dyDescent="0.25">
      <c r="A54" s="56">
        <v>22</v>
      </c>
      <c r="B54" s="24" t="s">
        <v>117</v>
      </c>
      <c r="C54">
        <v>2</v>
      </c>
      <c r="D54" t="s">
        <v>29</v>
      </c>
      <c r="E54">
        <v>2</v>
      </c>
    </row>
    <row r="55" spans="1:5" x14ac:dyDescent="0.25">
      <c r="A55" s="57">
        <v>2201</v>
      </c>
      <c r="B55" t="s">
        <v>46</v>
      </c>
      <c r="C55">
        <v>3</v>
      </c>
      <c r="D55" t="s">
        <v>29</v>
      </c>
      <c r="E55">
        <v>2</v>
      </c>
    </row>
    <row r="56" spans="1:5" x14ac:dyDescent="0.25">
      <c r="A56" s="56">
        <v>3</v>
      </c>
      <c r="B56" s="24" t="s">
        <v>118</v>
      </c>
      <c r="C56">
        <v>1</v>
      </c>
      <c r="D56" t="s">
        <v>29</v>
      </c>
      <c r="E56">
        <v>3</v>
      </c>
    </row>
    <row r="57" spans="1:5" x14ac:dyDescent="0.25">
      <c r="A57" s="56">
        <v>31</v>
      </c>
      <c r="B57" s="24" t="s">
        <v>47</v>
      </c>
      <c r="C57">
        <v>2</v>
      </c>
      <c r="D57" t="s">
        <v>29</v>
      </c>
      <c r="E57">
        <v>3</v>
      </c>
    </row>
    <row r="58" spans="1:5" x14ac:dyDescent="0.25">
      <c r="A58" s="56">
        <v>4</v>
      </c>
      <c r="B58" s="24" t="s">
        <v>48</v>
      </c>
      <c r="C58">
        <v>1</v>
      </c>
      <c r="D58" t="s">
        <v>30</v>
      </c>
      <c r="E58">
        <v>4</v>
      </c>
    </row>
    <row r="59" spans="1:5" x14ac:dyDescent="0.25">
      <c r="A59" s="56">
        <v>41</v>
      </c>
      <c r="B59" s="24" t="s">
        <v>119</v>
      </c>
      <c r="C59">
        <v>2</v>
      </c>
      <c r="D59" t="s">
        <v>30</v>
      </c>
      <c r="E59">
        <v>4</v>
      </c>
    </row>
    <row r="60" spans="1:5" x14ac:dyDescent="0.25">
      <c r="A60" s="57">
        <v>4101</v>
      </c>
      <c r="B60" t="s">
        <v>120</v>
      </c>
      <c r="C60">
        <v>3</v>
      </c>
      <c r="D60" t="s">
        <v>30</v>
      </c>
      <c r="E60">
        <v>4</v>
      </c>
    </row>
    <row r="61" spans="1:5" x14ac:dyDescent="0.25">
      <c r="A61" s="57">
        <v>4102</v>
      </c>
      <c r="B61" t="s">
        <v>121</v>
      </c>
      <c r="C61">
        <v>3</v>
      </c>
      <c r="D61" t="s">
        <v>30</v>
      </c>
      <c r="E61">
        <v>4</v>
      </c>
    </row>
    <row r="62" spans="1:5" x14ac:dyDescent="0.25">
      <c r="A62" s="57">
        <v>410201</v>
      </c>
      <c r="B62" t="s">
        <v>122</v>
      </c>
      <c r="C62">
        <v>4</v>
      </c>
      <c r="D62" t="s">
        <v>30</v>
      </c>
      <c r="E62">
        <v>4</v>
      </c>
    </row>
    <row r="63" spans="1:5" x14ac:dyDescent="0.25">
      <c r="A63" s="57">
        <v>410202</v>
      </c>
      <c r="B63" t="s">
        <v>123</v>
      </c>
      <c r="C63">
        <v>4</v>
      </c>
      <c r="D63" t="s">
        <v>30</v>
      </c>
      <c r="E63">
        <v>4</v>
      </c>
    </row>
    <row r="64" spans="1:5" x14ac:dyDescent="0.25">
      <c r="A64" s="57">
        <v>410203</v>
      </c>
      <c r="B64" t="s">
        <v>124</v>
      </c>
      <c r="C64">
        <v>4</v>
      </c>
      <c r="D64" t="s">
        <v>29</v>
      </c>
      <c r="E64">
        <v>4</v>
      </c>
    </row>
    <row r="65" spans="1:5" x14ac:dyDescent="0.25">
      <c r="A65" s="57">
        <v>410204</v>
      </c>
      <c r="B65" t="s">
        <v>125</v>
      </c>
      <c r="C65">
        <v>4</v>
      </c>
      <c r="D65" t="s">
        <v>29</v>
      </c>
      <c r="E65">
        <v>4</v>
      </c>
    </row>
    <row r="66" spans="1:5" x14ac:dyDescent="0.25">
      <c r="A66" s="57">
        <v>410205</v>
      </c>
      <c r="B66" t="s">
        <v>126</v>
      </c>
      <c r="C66">
        <v>4</v>
      </c>
      <c r="D66" t="s">
        <v>29</v>
      </c>
      <c r="E66">
        <v>4</v>
      </c>
    </row>
    <row r="67" spans="1:5" x14ac:dyDescent="0.25">
      <c r="A67" s="57">
        <v>410206</v>
      </c>
      <c r="B67" t="s">
        <v>127</v>
      </c>
      <c r="C67">
        <v>4</v>
      </c>
      <c r="D67" t="s">
        <v>29</v>
      </c>
      <c r="E67">
        <v>4</v>
      </c>
    </row>
    <row r="68" spans="1:5" x14ac:dyDescent="0.25">
      <c r="A68" s="57">
        <v>410207</v>
      </c>
      <c r="B68" t="s">
        <v>128</v>
      </c>
      <c r="C68">
        <v>4</v>
      </c>
      <c r="D68" t="s">
        <v>29</v>
      </c>
      <c r="E68">
        <v>4</v>
      </c>
    </row>
    <row r="69" spans="1:5" x14ac:dyDescent="0.25">
      <c r="A69" s="57">
        <v>410208</v>
      </c>
      <c r="B69" t="s">
        <v>129</v>
      </c>
      <c r="C69">
        <v>4</v>
      </c>
      <c r="D69" t="s">
        <v>29</v>
      </c>
      <c r="E69">
        <v>4</v>
      </c>
    </row>
    <row r="70" spans="1:5" x14ac:dyDescent="0.25">
      <c r="A70" s="56">
        <v>42</v>
      </c>
      <c r="B70" s="24" t="s">
        <v>130</v>
      </c>
      <c r="C70">
        <v>2</v>
      </c>
      <c r="D70" t="s">
        <v>29</v>
      </c>
      <c r="E70">
        <v>4</v>
      </c>
    </row>
    <row r="71" spans="1:5" x14ac:dyDescent="0.25">
      <c r="A71" s="57">
        <v>4201</v>
      </c>
      <c r="B71" t="s">
        <v>131</v>
      </c>
      <c r="C71">
        <v>3</v>
      </c>
      <c r="D71" t="s">
        <v>30</v>
      </c>
      <c r="E71">
        <v>4</v>
      </c>
    </row>
    <row r="72" spans="1:5" x14ac:dyDescent="0.25">
      <c r="A72" s="57">
        <v>4202</v>
      </c>
      <c r="B72" t="s">
        <v>132</v>
      </c>
      <c r="C72">
        <v>3</v>
      </c>
      <c r="D72" t="s">
        <v>30</v>
      </c>
      <c r="E72">
        <v>4</v>
      </c>
    </row>
    <row r="73" spans="1:5" x14ac:dyDescent="0.25">
      <c r="A73" s="57">
        <v>4203</v>
      </c>
      <c r="B73" t="s">
        <v>133</v>
      </c>
      <c r="C73">
        <v>3</v>
      </c>
      <c r="D73" t="s">
        <v>30</v>
      </c>
      <c r="E73">
        <v>4</v>
      </c>
    </row>
    <row r="74" spans="1:5" x14ac:dyDescent="0.25">
      <c r="A74" s="57">
        <v>4204</v>
      </c>
      <c r="B74" t="s">
        <v>134</v>
      </c>
      <c r="C74">
        <v>3</v>
      </c>
      <c r="D74" t="s">
        <v>30</v>
      </c>
      <c r="E74">
        <v>4</v>
      </c>
    </row>
    <row r="75" spans="1:5" x14ac:dyDescent="0.25">
      <c r="A75" s="56">
        <v>5</v>
      </c>
      <c r="B75" s="24" t="s">
        <v>76</v>
      </c>
      <c r="C75">
        <v>1</v>
      </c>
      <c r="D75" t="s">
        <v>29</v>
      </c>
      <c r="E75">
        <v>5</v>
      </c>
    </row>
    <row r="76" spans="1:5" x14ac:dyDescent="0.25">
      <c r="A76" s="56">
        <v>51</v>
      </c>
      <c r="B76" s="24" t="s">
        <v>135</v>
      </c>
      <c r="C76">
        <v>2</v>
      </c>
      <c r="D76" t="s">
        <v>29</v>
      </c>
      <c r="E76">
        <v>5</v>
      </c>
    </row>
    <row r="77" spans="1:5" x14ac:dyDescent="0.25">
      <c r="A77" s="57">
        <v>5101</v>
      </c>
      <c r="B77" t="s">
        <v>136</v>
      </c>
      <c r="C77">
        <v>3</v>
      </c>
      <c r="D77" t="s">
        <v>29</v>
      </c>
      <c r="E77">
        <v>5</v>
      </c>
    </row>
    <row r="78" spans="1:5" x14ac:dyDescent="0.25">
      <c r="A78" s="57">
        <v>510101</v>
      </c>
      <c r="B78" t="s">
        <v>137</v>
      </c>
      <c r="C78">
        <v>4</v>
      </c>
      <c r="D78" t="s">
        <v>29</v>
      </c>
      <c r="E78">
        <v>5</v>
      </c>
    </row>
    <row r="79" spans="1:5" x14ac:dyDescent="0.25">
      <c r="A79" s="57">
        <v>510102</v>
      </c>
      <c r="B79" t="s">
        <v>138</v>
      </c>
      <c r="C79">
        <v>4</v>
      </c>
      <c r="D79" t="s">
        <v>29</v>
      </c>
      <c r="E79">
        <v>5</v>
      </c>
    </row>
    <row r="80" spans="1:5" x14ac:dyDescent="0.25">
      <c r="A80" s="57">
        <v>510103</v>
      </c>
      <c r="B80" t="s">
        <v>139</v>
      </c>
      <c r="C80">
        <v>4</v>
      </c>
      <c r="D80" t="s">
        <v>29</v>
      </c>
      <c r="E80">
        <v>5</v>
      </c>
    </row>
    <row r="81" spans="1:5" x14ac:dyDescent="0.25">
      <c r="A81" s="56">
        <v>52</v>
      </c>
      <c r="B81" s="24" t="s">
        <v>140</v>
      </c>
      <c r="C81">
        <v>2</v>
      </c>
      <c r="D81" t="s">
        <v>29</v>
      </c>
      <c r="E81">
        <v>5</v>
      </c>
    </row>
    <row r="82" spans="1:5" x14ac:dyDescent="0.25">
      <c r="A82" s="56">
        <v>6</v>
      </c>
      <c r="B82" s="24" t="s">
        <v>141</v>
      </c>
      <c r="C82">
        <v>1</v>
      </c>
      <c r="D82" t="s">
        <v>29</v>
      </c>
      <c r="E82">
        <v>6</v>
      </c>
    </row>
    <row r="83" spans="1:5" x14ac:dyDescent="0.25">
      <c r="A83" s="56">
        <v>61</v>
      </c>
      <c r="B83" s="24" t="s">
        <v>77</v>
      </c>
      <c r="C83">
        <v>2</v>
      </c>
      <c r="D83" t="s">
        <v>29</v>
      </c>
      <c r="E83">
        <v>6</v>
      </c>
    </row>
    <row r="84" spans="1:5" x14ac:dyDescent="0.25">
      <c r="A84" s="57">
        <v>6101</v>
      </c>
      <c r="B84" t="s">
        <v>142</v>
      </c>
      <c r="C84">
        <v>3</v>
      </c>
      <c r="D84" t="s">
        <v>29</v>
      </c>
      <c r="E84">
        <v>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64116-C72C-43FD-86B2-BB73A8327021}">
  <sheetPr codeName="Hoja3">
    <tabColor theme="4" tint="0.39997558519241921"/>
  </sheetPr>
  <dimension ref="A1:G76"/>
  <sheetViews>
    <sheetView tabSelected="1" workbookViewId="0">
      <selection activeCell="C19" sqref="C19"/>
    </sheetView>
  </sheetViews>
  <sheetFormatPr baseColWidth="10" defaultRowHeight="15" x14ac:dyDescent="0.25"/>
  <cols>
    <col min="1" max="1" width="12.42578125" customWidth="1"/>
    <col min="2" max="2" width="14.5703125" customWidth="1"/>
    <col min="3" max="3" width="69.5703125" customWidth="1"/>
    <col min="4" max="4" width="9.7109375" customWidth="1"/>
    <col min="5" max="5" width="27.42578125" customWidth="1"/>
    <col min="6" max="6" width="14.42578125" customWidth="1"/>
    <col min="7" max="7" width="12.5703125" bestFit="1" customWidth="1"/>
  </cols>
  <sheetData>
    <row r="1" spans="1:7" x14ac:dyDescent="0.25">
      <c r="A1" s="38" t="s">
        <v>52</v>
      </c>
      <c r="B1" s="38" t="s">
        <v>50</v>
      </c>
      <c r="C1" s="39" t="s">
        <v>49</v>
      </c>
      <c r="D1" s="38" t="s">
        <v>0</v>
      </c>
      <c r="E1" s="39" t="s">
        <v>53</v>
      </c>
      <c r="F1" s="38" t="s">
        <v>54</v>
      </c>
      <c r="G1" s="38" t="s">
        <v>51</v>
      </c>
    </row>
    <row r="2" spans="1:7" x14ac:dyDescent="0.25">
      <c r="A2" s="26">
        <v>1</v>
      </c>
      <c r="B2" s="36">
        <v>44197</v>
      </c>
      <c r="C2" s="31" t="s">
        <v>145</v>
      </c>
      <c r="D2" s="75">
        <v>110101</v>
      </c>
      <c r="E2" s="31" t="s">
        <v>79</v>
      </c>
      <c r="F2" s="68">
        <v>75000</v>
      </c>
      <c r="G2" s="69"/>
    </row>
    <row r="3" spans="1:7" x14ac:dyDescent="0.25">
      <c r="A3" s="29"/>
      <c r="B3" s="62"/>
      <c r="C3" s="58" t="s">
        <v>146</v>
      </c>
      <c r="D3" s="76">
        <v>1105</v>
      </c>
      <c r="E3" s="58" t="s">
        <v>37</v>
      </c>
      <c r="F3" s="70">
        <v>40000</v>
      </c>
      <c r="G3" s="71"/>
    </row>
    <row r="4" spans="1:7" x14ac:dyDescent="0.25">
      <c r="A4" s="30"/>
      <c r="B4" s="62"/>
      <c r="C4" s="37" t="s">
        <v>147</v>
      </c>
      <c r="D4" s="76">
        <v>31</v>
      </c>
      <c r="E4" s="37" t="s">
        <v>47</v>
      </c>
      <c r="F4" s="71"/>
      <c r="G4" s="71">
        <v>115000</v>
      </c>
    </row>
    <row r="5" spans="1:7" x14ac:dyDescent="0.25">
      <c r="A5" s="29">
        <v>2</v>
      </c>
      <c r="B5" s="63"/>
      <c r="C5" s="33" t="s">
        <v>55</v>
      </c>
      <c r="D5" s="75">
        <v>1104</v>
      </c>
      <c r="E5" s="31" t="s">
        <v>143</v>
      </c>
      <c r="F5" s="69">
        <v>2210</v>
      </c>
      <c r="G5" s="69"/>
    </row>
    <row r="6" spans="1:7" x14ac:dyDescent="0.25">
      <c r="A6" s="30"/>
      <c r="B6" s="66">
        <v>44198</v>
      </c>
      <c r="C6" s="37" t="s">
        <v>148</v>
      </c>
      <c r="D6" s="76">
        <v>120103</v>
      </c>
      <c r="E6" s="58" t="s">
        <v>91</v>
      </c>
      <c r="F6" s="70">
        <v>17000</v>
      </c>
      <c r="G6" s="71"/>
    </row>
    <row r="7" spans="1:7" x14ac:dyDescent="0.25">
      <c r="A7" s="59"/>
      <c r="B7" s="67">
        <v>44198</v>
      </c>
      <c r="C7" s="60" t="s">
        <v>149</v>
      </c>
      <c r="D7" s="77">
        <v>110101</v>
      </c>
      <c r="E7" s="61" t="s">
        <v>79</v>
      </c>
      <c r="F7" s="72"/>
      <c r="G7" s="73">
        <v>19210</v>
      </c>
    </row>
    <row r="8" spans="1:7" x14ac:dyDescent="0.25">
      <c r="A8" s="29">
        <v>3</v>
      </c>
      <c r="B8" s="65"/>
      <c r="C8" s="33" t="s">
        <v>150</v>
      </c>
      <c r="D8" s="75">
        <v>1105</v>
      </c>
      <c r="E8" s="31" t="s">
        <v>37</v>
      </c>
      <c r="F8" s="68"/>
      <c r="G8" s="69">
        <v>12000</v>
      </c>
    </row>
    <row r="9" spans="1:7" x14ac:dyDescent="0.25">
      <c r="A9" s="30"/>
      <c r="B9" s="66">
        <v>44201</v>
      </c>
      <c r="C9" s="37" t="s">
        <v>151</v>
      </c>
      <c r="D9" s="76">
        <v>4101</v>
      </c>
      <c r="E9" s="58" t="s">
        <v>120</v>
      </c>
      <c r="F9" s="70">
        <v>12000</v>
      </c>
      <c r="G9" s="71"/>
    </row>
    <row r="10" spans="1:7" x14ac:dyDescent="0.25">
      <c r="A10" s="29"/>
      <c r="B10" s="65"/>
      <c r="C10" s="33" t="s">
        <v>144</v>
      </c>
      <c r="D10" s="75">
        <v>2106</v>
      </c>
      <c r="E10" s="31" t="s">
        <v>45</v>
      </c>
      <c r="F10" s="68"/>
      <c r="G10" s="69">
        <v>3250</v>
      </c>
    </row>
    <row r="11" spans="1:7" x14ac:dyDescent="0.25">
      <c r="A11" s="29"/>
      <c r="B11" s="65"/>
      <c r="C11" s="33" t="s">
        <v>157</v>
      </c>
      <c r="D11" s="75">
        <v>51</v>
      </c>
      <c r="E11" s="31" t="s">
        <v>135</v>
      </c>
      <c r="F11" s="68"/>
      <c r="G11" s="69">
        <v>25000</v>
      </c>
    </row>
    <row r="12" spans="1:7" x14ac:dyDescent="0.25">
      <c r="A12" s="30"/>
      <c r="B12" s="66">
        <v>44201</v>
      </c>
      <c r="C12" s="37" t="s">
        <v>152</v>
      </c>
      <c r="D12" s="76">
        <v>1102</v>
      </c>
      <c r="E12" s="58" t="s">
        <v>35</v>
      </c>
      <c r="F12" s="70">
        <v>28250</v>
      </c>
      <c r="G12" s="71"/>
    </row>
    <row r="13" spans="1:7" x14ac:dyDescent="0.25">
      <c r="A13" s="29">
        <v>4</v>
      </c>
      <c r="B13" s="65"/>
      <c r="C13" s="33" t="s">
        <v>156</v>
      </c>
      <c r="D13" s="75">
        <v>2106</v>
      </c>
      <c r="E13" s="31" t="s">
        <v>45</v>
      </c>
      <c r="F13" s="68">
        <v>97.5</v>
      </c>
      <c r="G13" s="69"/>
    </row>
    <row r="14" spans="1:7" x14ac:dyDescent="0.25">
      <c r="A14" s="29"/>
      <c r="B14" s="78">
        <v>44206</v>
      </c>
      <c r="C14" s="33" t="s">
        <v>153</v>
      </c>
      <c r="D14" s="75">
        <v>510102</v>
      </c>
      <c r="E14" s="31" t="s">
        <v>138</v>
      </c>
      <c r="F14" s="68">
        <v>750</v>
      </c>
      <c r="G14" s="69"/>
    </row>
    <row r="15" spans="1:7" x14ac:dyDescent="0.25">
      <c r="A15" s="29"/>
      <c r="B15" s="65"/>
      <c r="C15" s="33" t="s">
        <v>154</v>
      </c>
      <c r="D15" s="75">
        <v>110101</v>
      </c>
      <c r="E15" s="31" t="s">
        <v>79</v>
      </c>
      <c r="F15" s="68">
        <v>27402.5</v>
      </c>
      <c r="G15" s="69"/>
    </row>
    <row r="16" spans="1:7" x14ac:dyDescent="0.25">
      <c r="A16" s="30"/>
      <c r="B16" s="64"/>
      <c r="C16" s="37" t="s">
        <v>155</v>
      </c>
      <c r="D16" s="76">
        <v>1102</v>
      </c>
      <c r="E16" s="58" t="s">
        <v>35</v>
      </c>
      <c r="F16" s="70"/>
      <c r="G16" s="71">
        <v>28250</v>
      </c>
    </row>
    <row r="17" spans="1:7" x14ac:dyDescent="0.25">
      <c r="A17" s="29"/>
      <c r="B17" s="27"/>
      <c r="C17" s="33"/>
      <c r="D17" s="75"/>
      <c r="E17" s="31"/>
      <c r="F17" s="68"/>
      <c r="G17" s="69"/>
    </row>
    <row r="18" spans="1:7" x14ac:dyDescent="0.25">
      <c r="A18" s="29"/>
      <c r="B18" s="27"/>
      <c r="C18" s="33"/>
      <c r="D18" s="75"/>
      <c r="E18" s="31"/>
      <c r="F18" s="68"/>
      <c r="G18" s="69"/>
    </row>
    <row r="19" spans="1:7" x14ac:dyDescent="0.25">
      <c r="A19" s="29"/>
      <c r="B19" s="27"/>
      <c r="C19" s="33"/>
      <c r="D19" s="75"/>
      <c r="E19" s="31"/>
      <c r="F19" s="68"/>
      <c r="G19" s="69"/>
    </row>
    <row r="20" spans="1:7" x14ac:dyDescent="0.25">
      <c r="A20" s="29"/>
      <c r="B20" s="27"/>
      <c r="C20" s="33"/>
      <c r="D20" s="75"/>
      <c r="E20" s="31"/>
      <c r="F20" s="68"/>
      <c r="G20" s="69"/>
    </row>
    <row r="21" spans="1:7" x14ac:dyDescent="0.25">
      <c r="A21" s="29"/>
      <c r="B21" s="27"/>
      <c r="C21" s="33"/>
      <c r="D21" s="75"/>
      <c r="E21" s="31"/>
      <c r="F21" s="68"/>
      <c r="G21" s="69"/>
    </row>
    <row r="22" spans="1:7" x14ac:dyDescent="0.25">
      <c r="A22" s="29"/>
      <c r="B22" s="27"/>
      <c r="C22" s="33"/>
      <c r="D22" s="75"/>
      <c r="E22" s="31"/>
      <c r="F22" s="68"/>
      <c r="G22" s="69"/>
    </row>
    <row r="23" spans="1:7" x14ac:dyDescent="0.25">
      <c r="A23" s="29"/>
      <c r="B23" s="27"/>
      <c r="C23" s="33"/>
      <c r="D23" s="75"/>
      <c r="E23" s="31"/>
      <c r="F23" s="68"/>
      <c r="G23" s="69"/>
    </row>
    <row r="24" spans="1:7" x14ac:dyDescent="0.25">
      <c r="A24" s="29"/>
      <c r="B24" s="27"/>
      <c r="C24" s="33"/>
      <c r="D24" s="75"/>
      <c r="E24" s="31"/>
      <c r="F24" s="68"/>
      <c r="G24" s="69"/>
    </row>
    <row r="25" spans="1:7" x14ac:dyDescent="0.25">
      <c r="A25" s="31"/>
      <c r="B25" s="26"/>
      <c r="C25" s="33"/>
      <c r="D25" s="75"/>
      <c r="E25" s="31"/>
      <c r="F25" s="68"/>
      <c r="G25" s="69"/>
    </row>
    <row r="26" spans="1:7" x14ac:dyDescent="0.25">
      <c r="A26" s="31"/>
      <c r="B26" s="26"/>
      <c r="C26" s="33"/>
      <c r="D26" s="75"/>
      <c r="E26" s="31"/>
      <c r="F26" s="68"/>
      <c r="G26" s="69"/>
    </row>
    <row r="27" spans="1:7" x14ac:dyDescent="0.25">
      <c r="A27" s="31"/>
      <c r="B27" s="26"/>
      <c r="C27" s="33"/>
      <c r="D27" s="75"/>
      <c r="E27" s="31"/>
      <c r="F27" s="68"/>
      <c r="G27" s="69"/>
    </row>
    <row r="28" spans="1:7" x14ac:dyDescent="0.25">
      <c r="A28" s="31"/>
      <c r="B28" s="26"/>
      <c r="C28" s="33"/>
      <c r="D28" s="75"/>
      <c r="E28" s="31"/>
      <c r="F28" s="68"/>
      <c r="G28" s="69"/>
    </row>
    <row r="29" spans="1:7" x14ac:dyDescent="0.25">
      <c r="A29" s="31"/>
      <c r="B29" s="26"/>
      <c r="C29" s="33"/>
      <c r="D29" s="75"/>
      <c r="E29" s="31"/>
      <c r="F29" s="68"/>
      <c r="G29" s="69"/>
    </row>
    <row r="30" spans="1:7" x14ac:dyDescent="0.25">
      <c r="A30" s="31"/>
      <c r="B30" s="26"/>
      <c r="C30" s="33"/>
      <c r="D30" s="75"/>
      <c r="E30" s="31"/>
      <c r="F30" s="68"/>
      <c r="G30" s="69"/>
    </row>
    <row r="31" spans="1:7" x14ac:dyDescent="0.25">
      <c r="A31" s="31"/>
      <c r="B31" s="26"/>
      <c r="C31" s="33"/>
      <c r="D31" s="75"/>
      <c r="E31" s="31"/>
      <c r="F31" s="68"/>
      <c r="G31" s="69"/>
    </row>
    <row r="32" spans="1:7" x14ac:dyDescent="0.25">
      <c r="A32" s="31"/>
      <c r="B32" s="26"/>
      <c r="C32" s="33"/>
      <c r="D32" s="75"/>
      <c r="E32" s="31"/>
      <c r="F32" s="68"/>
      <c r="G32" s="69"/>
    </row>
    <row r="33" spans="1:7" x14ac:dyDescent="0.25">
      <c r="A33" s="31"/>
      <c r="B33" s="26"/>
      <c r="C33" s="33"/>
      <c r="D33" s="75"/>
      <c r="E33" s="31"/>
      <c r="F33" s="68"/>
      <c r="G33" s="69"/>
    </row>
    <row r="34" spans="1:7" x14ac:dyDescent="0.25">
      <c r="A34" s="31"/>
      <c r="B34" s="26"/>
      <c r="C34" s="33"/>
      <c r="D34" s="75"/>
      <c r="E34" s="31"/>
      <c r="F34" s="68"/>
      <c r="G34" s="69"/>
    </row>
    <row r="35" spans="1:7" x14ac:dyDescent="0.25">
      <c r="A35" s="31"/>
      <c r="B35" s="26"/>
      <c r="C35" s="33"/>
      <c r="D35" s="75"/>
      <c r="E35" s="31"/>
      <c r="F35" s="68"/>
      <c r="G35" s="69"/>
    </row>
    <row r="36" spans="1:7" x14ac:dyDescent="0.25">
      <c r="A36" s="31"/>
      <c r="B36" s="26"/>
      <c r="C36" s="33"/>
      <c r="D36" s="75"/>
      <c r="E36" s="31"/>
      <c r="F36" s="68"/>
      <c r="G36" s="69"/>
    </row>
    <row r="37" spans="1:7" x14ac:dyDescent="0.25">
      <c r="A37" s="31"/>
      <c r="B37" s="26"/>
      <c r="C37" s="33"/>
      <c r="D37" s="75"/>
      <c r="E37" s="31"/>
      <c r="F37" s="68"/>
      <c r="G37" s="69"/>
    </row>
    <row r="38" spans="1:7" x14ac:dyDescent="0.25">
      <c r="A38" s="31"/>
      <c r="B38" s="26"/>
      <c r="C38" s="33"/>
      <c r="D38" s="75"/>
      <c r="E38" s="31"/>
      <c r="F38" s="68"/>
      <c r="G38" s="69"/>
    </row>
    <row r="39" spans="1:7" x14ac:dyDescent="0.25">
      <c r="A39" s="31"/>
      <c r="B39" s="26"/>
      <c r="C39" s="33"/>
      <c r="D39" s="75"/>
      <c r="E39" s="31"/>
      <c r="F39" s="68"/>
      <c r="G39" s="69"/>
    </row>
    <row r="40" spans="1:7" x14ac:dyDescent="0.25">
      <c r="A40" s="31"/>
      <c r="B40" s="26"/>
      <c r="C40" s="33"/>
      <c r="D40" s="75"/>
      <c r="E40" s="31"/>
      <c r="F40" s="68"/>
      <c r="G40" s="69"/>
    </row>
    <row r="41" spans="1:7" x14ac:dyDescent="0.25">
      <c r="A41" s="31"/>
      <c r="B41" s="26"/>
      <c r="C41" s="33"/>
      <c r="D41" s="75"/>
      <c r="E41" s="31"/>
      <c r="F41" s="68"/>
      <c r="G41" s="69"/>
    </row>
    <row r="42" spans="1:7" x14ac:dyDescent="0.25">
      <c r="A42" s="31"/>
      <c r="B42" s="26"/>
      <c r="C42" s="33"/>
      <c r="D42" s="75"/>
      <c r="E42" s="31"/>
      <c r="F42" s="68"/>
      <c r="G42" s="69"/>
    </row>
    <row r="43" spans="1:7" x14ac:dyDescent="0.25">
      <c r="A43" s="31"/>
      <c r="B43" s="26"/>
      <c r="C43" s="33"/>
      <c r="D43" s="75"/>
      <c r="E43" s="31"/>
      <c r="F43" s="68"/>
      <c r="G43" s="69"/>
    </row>
    <row r="44" spans="1:7" x14ac:dyDescent="0.25">
      <c r="A44" s="31"/>
      <c r="B44" s="26"/>
      <c r="C44" s="33"/>
      <c r="D44" s="75"/>
      <c r="E44" s="31"/>
      <c r="F44" s="68"/>
      <c r="G44" s="69"/>
    </row>
    <row r="45" spans="1:7" x14ac:dyDescent="0.25">
      <c r="A45" s="31"/>
      <c r="B45" s="26"/>
      <c r="C45" s="33"/>
      <c r="D45" s="75"/>
      <c r="E45" s="31"/>
      <c r="F45" s="68"/>
      <c r="G45" s="69"/>
    </row>
    <row r="46" spans="1:7" x14ac:dyDescent="0.25">
      <c r="A46" s="31"/>
      <c r="B46" s="26"/>
      <c r="C46" s="33"/>
      <c r="D46" s="75"/>
      <c r="E46" s="31"/>
      <c r="F46" s="68"/>
      <c r="G46" s="69"/>
    </row>
    <row r="47" spans="1:7" x14ac:dyDescent="0.25">
      <c r="A47" s="31"/>
      <c r="B47" s="26"/>
      <c r="C47" s="33"/>
      <c r="D47" s="75"/>
      <c r="E47" s="31"/>
      <c r="F47" s="68"/>
      <c r="G47" s="69"/>
    </row>
    <row r="48" spans="1:7" x14ac:dyDescent="0.25">
      <c r="A48" s="31"/>
      <c r="B48" s="26"/>
      <c r="C48" s="33"/>
      <c r="D48" s="75"/>
      <c r="E48" s="31"/>
      <c r="F48" s="68"/>
      <c r="G48" s="69"/>
    </row>
    <row r="49" spans="1:7" x14ac:dyDescent="0.25">
      <c r="A49" s="31"/>
      <c r="B49" s="26"/>
      <c r="C49" s="33"/>
      <c r="D49" s="75"/>
      <c r="E49" s="31"/>
      <c r="F49" s="68"/>
      <c r="G49" s="69"/>
    </row>
    <row r="50" spans="1:7" x14ac:dyDescent="0.25">
      <c r="A50" s="31"/>
      <c r="B50" s="26"/>
      <c r="C50" s="33"/>
      <c r="D50" s="75"/>
      <c r="E50" s="31"/>
      <c r="F50" s="69"/>
      <c r="G50" s="74"/>
    </row>
    <row r="51" spans="1:7" x14ac:dyDescent="0.25">
      <c r="A51" s="31"/>
      <c r="B51" s="26"/>
      <c r="C51" s="33"/>
      <c r="D51" s="75"/>
      <c r="E51" s="31"/>
      <c r="F51" s="69"/>
      <c r="G51" s="74"/>
    </row>
    <row r="52" spans="1:7" x14ac:dyDescent="0.25">
      <c r="C52" s="41"/>
      <c r="D52" s="40"/>
      <c r="E52" s="32"/>
    </row>
    <row r="53" spans="1:7" x14ac:dyDescent="0.25">
      <c r="B53" s="40"/>
      <c r="C53" s="40"/>
      <c r="E53" s="40"/>
    </row>
    <row r="54" spans="1:7" x14ac:dyDescent="0.25">
      <c r="B54" s="40"/>
      <c r="C54" s="40"/>
      <c r="E54" s="40"/>
    </row>
    <row r="55" spans="1:7" x14ac:dyDescent="0.25">
      <c r="B55" s="40"/>
      <c r="C55" s="40"/>
      <c r="E55" s="40"/>
    </row>
    <row r="56" spans="1:7" x14ac:dyDescent="0.25">
      <c r="B56" s="40"/>
      <c r="C56" s="40"/>
      <c r="E56" s="40"/>
    </row>
    <row r="57" spans="1:7" x14ac:dyDescent="0.25">
      <c r="B57" s="40"/>
      <c r="C57" s="40"/>
      <c r="E57" s="40"/>
    </row>
    <row r="58" spans="1:7" x14ac:dyDescent="0.25">
      <c r="B58" s="40"/>
      <c r="C58" s="40"/>
      <c r="E58" s="40"/>
    </row>
    <row r="59" spans="1:7" x14ac:dyDescent="0.25">
      <c r="B59" s="40"/>
      <c r="C59" s="40"/>
      <c r="E59" s="40"/>
    </row>
    <row r="60" spans="1:7" x14ac:dyDescent="0.25">
      <c r="B60" s="40"/>
      <c r="C60" s="40"/>
      <c r="E60" s="40"/>
    </row>
    <row r="61" spans="1:7" x14ac:dyDescent="0.25">
      <c r="B61" s="40"/>
      <c r="C61" s="40"/>
      <c r="E61" s="40"/>
    </row>
    <row r="62" spans="1:7" x14ac:dyDescent="0.25">
      <c r="B62" s="40"/>
      <c r="C62" s="40"/>
      <c r="E62" s="32"/>
    </row>
    <row r="63" spans="1:7" x14ac:dyDescent="0.25">
      <c r="B63" s="40"/>
      <c r="C63" s="40"/>
      <c r="E63" s="32"/>
    </row>
    <row r="64" spans="1:7" x14ac:dyDescent="0.25">
      <c r="C64" s="34"/>
      <c r="E64" s="32"/>
    </row>
    <row r="65" spans="3:5" x14ac:dyDescent="0.25">
      <c r="C65" s="34"/>
      <c r="E65" s="32"/>
    </row>
    <row r="66" spans="3:5" x14ac:dyDescent="0.25">
      <c r="C66" s="34"/>
      <c r="E66" s="32"/>
    </row>
    <row r="67" spans="3:5" x14ac:dyDescent="0.25">
      <c r="C67" s="35"/>
      <c r="E67" s="32"/>
    </row>
    <row r="68" spans="3:5" x14ac:dyDescent="0.25">
      <c r="E68" s="32"/>
    </row>
    <row r="69" spans="3:5" x14ac:dyDescent="0.25">
      <c r="E69" s="32"/>
    </row>
    <row r="70" spans="3:5" x14ac:dyDescent="0.25">
      <c r="E70" s="32"/>
    </row>
    <row r="71" spans="3:5" x14ac:dyDescent="0.25">
      <c r="E71" s="32"/>
    </row>
    <row r="72" spans="3:5" x14ac:dyDescent="0.25">
      <c r="E72" s="32"/>
    </row>
    <row r="73" spans="3:5" x14ac:dyDescent="0.25">
      <c r="E73" s="32"/>
    </row>
    <row r="74" spans="3:5" x14ac:dyDescent="0.25">
      <c r="E74" s="32"/>
    </row>
    <row r="75" spans="3:5" x14ac:dyDescent="0.25">
      <c r="E75" s="32"/>
    </row>
    <row r="76" spans="3:5" x14ac:dyDescent="0.25">
      <c r="E76" s="3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DCB14-76FC-410D-9BE3-23F2D4CD2DB9}">
  <sheetPr codeName="Hoja6">
    <tabColor theme="4" tint="0.39997558519241921"/>
  </sheetPr>
  <dimension ref="A3:G24"/>
  <sheetViews>
    <sheetView topLeftCell="A2" workbookViewId="0">
      <selection activeCell="B11" sqref="B11"/>
    </sheetView>
  </sheetViews>
  <sheetFormatPr baseColWidth="10" defaultRowHeight="15" x14ac:dyDescent="0.25"/>
  <cols>
    <col min="1" max="1" width="14.85546875" customWidth="1"/>
    <col min="2" max="2" width="40" customWidth="1"/>
    <col min="3" max="3" width="24.5703125" customWidth="1"/>
    <col min="4" max="4" width="14.7109375" customWidth="1"/>
  </cols>
  <sheetData>
    <row r="3" spans="1:7" x14ac:dyDescent="0.25">
      <c r="G3" s="19"/>
    </row>
    <row r="4" spans="1:7" x14ac:dyDescent="0.25">
      <c r="E4" s="13"/>
    </row>
    <row r="5" spans="1:7" x14ac:dyDescent="0.25">
      <c r="A5" t="s">
        <v>23</v>
      </c>
      <c r="B5" t="s">
        <v>58</v>
      </c>
      <c r="C5" t="s">
        <v>59</v>
      </c>
      <c r="D5" t="s">
        <v>60</v>
      </c>
    </row>
    <row r="6" spans="1:7" x14ac:dyDescent="0.25">
      <c r="A6" s="19" t="s">
        <v>19</v>
      </c>
      <c r="B6" t="s">
        <v>65</v>
      </c>
      <c r="C6" t="s">
        <v>68</v>
      </c>
      <c r="D6" s="13">
        <v>105.45780000000001</v>
      </c>
    </row>
    <row r="7" spans="1:7" x14ac:dyDescent="0.25">
      <c r="A7" s="19" t="s">
        <v>24</v>
      </c>
      <c r="B7" t="s">
        <v>66</v>
      </c>
      <c r="C7" t="s">
        <v>69</v>
      </c>
      <c r="D7" s="13"/>
    </row>
    <row r="8" spans="1:7" x14ac:dyDescent="0.25">
      <c r="A8" s="19" t="s">
        <v>25</v>
      </c>
      <c r="B8" t="s">
        <v>61</v>
      </c>
      <c r="C8" t="s">
        <v>64</v>
      </c>
      <c r="D8" s="13"/>
    </row>
    <row r="9" spans="1:7" x14ac:dyDescent="0.25">
      <c r="A9" s="19" t="s">
        <v>26</v>
      </c>
      <c r="B9" t="s">
        <v>62</v>
      </c>
      <c r="C9" t="s">
        <v>67</v>
      </c>
      <c r="D9" s="13">
        <v>104.3039</v>
      </c>
    </row>
    <row r="10" spans="1:7" x14ac:dyDescent="0.25">
      <c r="A10" s="19" t="s">
        <v>27</v>
      </c>
      <c r="B10" t="s">
        <v>63</v>
      </c>
      <c r="C10" t="s">
        <v>70</v>
      </c>
      <c r="D10" s="13"/>
    </row>
    <row r="11" spans="1:7" x14ac:dyDescent="0.25">
      <c r="A11" s="19" t="s">
        <v>71</v>
      </c>
      <c r="D11" s="13"/>
    </row>
    <row r="12" spans="1:7" x14ac:dyDescent="0.25">
      <c r="A12" s="19"/>
      <c r="D12" s="13"/>
    </row>
    <row r="13" spans="1:7" x14ac:dyDescent="0.25">
      <c r="A13" s="19"/>
      <c r="D13" s="13"/>
    </row>
    <row r="14" spans="1:7" x14ac:dyDescent="0.25">
      <c r="A14" s="19"/>
      <c r="D14" s="13"/>
    </row>
    <row r="15" spans="1:7" x14ac:dyDescent="0.25">
      <c r="A15" s="19"/>
      <c r="D15" s="13"/>
    </row>
    <row r="16" spans="1:7" x14ac:dyDescent="0.25">
      <c r="A16" s="19"/>
      <c r="D16" s="13"/>
    </row>
    <row r="17" spans="1:4" x14ac:dyDescent="0.25">
      <c r="A17" s="19"/>
      <c r="D17" s="13"/>
    </row>
    <row r="18" spans="1:4" x14ac:dyDescent="0.25">
      <c r="A18" s="19"/>
      <c r="D18" s="13"/>
    </row>
    <row r="19" spans="1:4" x14ac:dyDescent="0.25">
      <c r="A19" s="19"/>
      <c r="D19" s="13"/>
    </row>
    <row r="20" spans="1:4" x14ac:dyDescent="0.25">
      <c r="A20" s="19"/>
      <c r="D20" s="13"/>
    </row>
    <row r="21" spans="1:4" x14ac:dyDescent="0.25">
      <c r="A21" s="19"/>
      <c r="D21" s="13"/>
    </row>
    <row r="22" spans="1:4" x14ac:dyDescent="0.25">
      <c r="A22" s="19"/>
      <c r="D22" s="13"/>
    </row>
    <row r="23" spans="1:4" x14ac:dyDescent="0.25">
      <c r="A23" s="19"/>
      <c r="D23" s="13"/>
    </row>
    <row r="24" spans="1:4" x14ac:dyDescent="0.25">
      <c r="A24" s="19"/>
      <c r="D24" s="13"/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2C65F-B762-405F-BD17-F831610FD251}">
  <sheetPr codeName="Hoja4">
    <tabColor theme="8" tint="0.39997558519241921"/>
  </sheetPr>
  <dimension ref="A1:J16"/>
  <sheetViews>
    <sheetView workbookViewId="0">
      <selection activeCell="I12" sqref="I12"/>
    </sheetView>
  </sheetViews>
  <sheetFormatPr baseColWidth="10" defaultRowHeight="15" x14ac:dyDescent="0.25"/>
  <cols>
    <col min="1" max="1" width="16.7109375" customWidth="1"/>
    <col min="7" max="7" width="17.28515625" customWidth="1"/>
    <col min="8" max="9" width="16.28515625" customWidth="1"/>
    <col min="10" max="10" width="11.85546875" bestFit="1" customWidth="1"/>
  </cols>
  <sheetData>
    <row r="1" spans="1:10" x14ac:dyDescent="0.25">
      <c r="G1" s="17" t="s">
        <v>16</v>
      </c>
      <c r="H1" t="s">
        <v>9</v>
      </c>
      <c r="I1" t="s">
        <v>14</v>
      </c>
      <c r="J1" t="s">
        <v>17</v>
      </c>
    </row>
    <row r="2" spans="1:10" x14ac:dyDescent="0.25">
      <c r="A2" t="s">
        <v>4</v>
      </c>
      <c r="B2" t="s">
        <v>10</v>
      </c>
      <c r="C2" t="s">
        <v>11</v>
      </c>
      <c r="D2" t="s">
        <v>12</v>
      </c>
      <c r="G2" s="19"/>
      <c r="H2" s="13"/>
    </row>
    <row r="3" spans="1:10" x14ac:dyDescent="0.25">
      <c r="A3" t="s">
        <v>13</v>
      </c>
      <c r="B3" s="14">
        <f t="shared" ref="B3" si="0">H2*7</f>
        <v>0</v>
      </c>
      <c r="C3" s="13">
        <f>Tabla4[[#This Row],[Semanal ]]/52</f>
        <v>0</v>
      </c>
      <c r="D3" s="13"/>
    </row>
    <row r="4" spans="1:10" x14ac:dyDescent="0.25">
      <c r="A4" t="s">
        <v>5</v>
      </c>
      <c r="B4" s="14">
        <f>((H8*H2)+I8*(H8*H2))/52</f>
        <v>0</v>
      </c>
      <c r="C4" s="13"/>
      <c r="D4" s="13"/>
      <c r="G4" s="17" t="s">
        <v>6</v>
      </c>
      <c r="H4" t="s">
        <v>28</v>
      </c>
      <c r="I4" t="s">
        <v>15</v>
      </c>
    </row>
    <row r="5" spans="1:10" x14ac:dyDescent="0.25">
      <c r="A5" t="s">
        <v>6</v>
      </c>
      <c r="B5" s="14">
        <f>(I5*H2)/52</f>
        <v>0</v>
      </c>
      <c r="C5" s="13"/>
      <c r="D5" s="13"/>
      <c r="H5">
        <v>4</v>
      </c>
      <c r="I5">
        <f>IF(H5=1,10,IF(H5&lt;4,10,IF(H5=4,15,IF(H5&lt;11,15,18))))</f>
        <v>15</v>
      </c>
    </row>
    <row r="6" spans="1:10" x14ac:dyDescent="0.25">
      <c r="A6" t="s">
        <v>7</v>
      </c>
      <c r="B6" s="14">
        <f>(B3+B4)*H10</f>
        <v>0</v>
      </c>
      <c r="C6" s="13"/>
      <c r="D6" s="13"/>
      <c r="J6">
        <f>IF(I5&gt;=1,10,IF(I5&lt;=3,10,IF(I5&lt;=10,15,18)))</f>
        <v>10</v>
      </c>
    </row>
    <row r="7" spans="1:10" x14ac:dyDescent="0.25">
      <c r="A7" t="s">
        <v>8</v>
      </c>
      <c r="B7" s="14">
        <f>(B3+B4)*H12</f>
        <v>0</v>
      </c>
      <c r="C7" s="13"/>
      <c r="D7" s="13"/>
      <c r="G7" s="17" t="s">
        <v>5</v>
      </c>
      <c r="H7" t="s">
        <v>15</v>
      </c>
      <c r="I7" t="s">
        <v>18</v>
      </c>
    </row>
    <row r="8" spans="1:10" x14ac:dyDescent="0.25">
      <c r="B8" s="21"/>
      <c r="C8" s="22"/>
      <c r="D8" s="23"/>
      <c r="H8" s="15">
        <v>15</v>
      </c>
      <c r="I8" s="16">
        <v>0.3</v>
      </c>
    </row>
    <row r="9" spans="1:10" ht="15.75" x14ac:dyDescent="0.25">
      <c r="A9" s="42" t="s">
        <v>57</v>
      </c>
      <c r="B9" s="43">
        <f>SUM(B3:B7)</f>
        <v>0</v>
      </c>
      <c r="C9" s="43">
        <f t="shared" ref="C9:D9" si="1">SUM(C3:C7)</f>
        <v>0</v>
      </c>
      <c r="D9" s="43">
        <f t="shared" si="1"/>
        <v>0</v>
      </c>
    </row>
    <row r="10" spans="1:10" x14ac:dyDescent="0.25">
      <c r="B10" s="14"/>
      <c r="C10" s="20"/>
      <c r="D10" s="13"/>
      <c r="G10" s="17" t="s">
        <v>7</v>
      </c>
      <c r="H10" s="18">
        <v>7.4999999999999997E-2</v>
      </c>
    </row>
    <row r="11" spans="1:10" ht="15.75" x14ac:dyDescent="0.25">
      <c r="A11" s="42" t="s">
        <v>56</v>
      </c>
      <c r="B11" s="14">
        <f>H2*I2</f>
        <v>0</v>
      </c>
      <c r="C11" s="20">
        <f>+H2</f>
        <v>0</v>
      </c>
      <c r="D11" s="13"/>
    </row>
    <row r="12" spans="1:10" x14ac:dyDescent="0.25">
      <c r="G12" s="17" t="s">
        <v>8</v>
      </c>
      <c r="H12" s="18">
        <v>7.7499999999999999E-2</v>
      </c>
    </row>
    <row r="13" spans="1:10" x14ac:dyDescent="0.25">
      <c r="B13" t="s">
        <v>21</v>
      </c>
      <c r="C13" s="13"/>
    </row>
    <row r="14" spans="1:10" x14ac:dyDescent="0.25">
      <c r="B14" t="s">
        <v>22</v>
      </c>
      <c r="C14" s="14">
        <f>H2*I2</f>
        <v>0</v>
      </c>
    </row>
    <row r="15" spans="1:10" x14ac:dyDescent="0.25">
      <c r="B15" t="s">
        <v>11</v>
      </c>
      <c r="C15" s="14">
        <f>+H2</f>
        <v>0</v>
      </c>
      <c r="G15" t="s">
        <v>20</v>
      </c>
      <c r="H15" s="15" t="e">
        <f>B9/C14</f>
        <v>#DIV/0!</v>
      </c>
    </row>
    <row r="16" spans="1:10" x14ac:dyDescent="0.25">
      <c r="B16" t="s">
        <v>12</v>
      </c>
      <c r="C16" s="14" t="e">
        <f>H2/J2</f>
        <v>#DIV/0!</v>
      </c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>
  <ribbon>
    <tabs>
      <tab id="customTab" label="Sistema Contable" insertAfterMso="TabHome">
        <group id="conta" label="Contabilidad">
          <button id="asientos" label="Asientos" onAction="form_asientos" size="large" imageMso="MasterPageAddNew"/>
          <button id="cuentas" label="Catalogo de Cuentas" size="large" onAction="form_CatCuentas" imageMso="BuildingBlocksOrganizer"/>
          <button id="balComprobacion" label="Balance de Comprobación" size="large" imageMso="ConflictsAcceptMenu"/>
        </group>
        <group id="empleados" label="Empleados">
          <button id="costoEmpleado" label="Costeo" size="large" onAction="form_asientos" imageMso="AccessTableContacts"/>
          <button id="nomina" label="Nómina" size="large" imageMso="AuthorHighlightingHide"/>
        </group>
        <group id="estados" label="Estados Financieros">
          <button id="resultados" label="Estado de Resultados" size="large" imageMso="AccessReportMore"/>
          <button id="capital" label="Estado de Capital" size="large" imageMso="ReportsProject"/>
          <button id="balance" label="Balance General" size="large" imageMso="MasterDocumentSh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Inicio</vt:lpstr>
      <vt:lpstr>Catalogo</vt:lpstr>
      <vt:lpstr>Asientos diarios</vt:lpstr>
      <vt:lpstr>Empleados</vt:lpstr>
      <vt:lpstr>Prestaciones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Roxana</dc:creator>
  <cp:lastModifiedBy>DELL</cp:lastModifiedBy>
  <dcterms:created xsi:type="dcterms:W3CDTF">2021-09-29T21:18:37Z</dcterms:created>
  <dcterms:modified xsi:type="dcterms:W3CDTF">2021-10-18T08:19:18Z</dcterms:modified>
</cp:coreProperties>
</file>